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Wang\Downloads\"/>
    </mc:Choice>
  </mc:AlternateContent>
  <xr:revisionPtr revIDLastSave="0" documentId="13_ncr:1_{AD8E9BD5-037A-4BB0-9DB4-319A6E76B328}" xr6:coauthVersionLast="47" xr6:coauthVersionMax="47" xr10:uidLastSave="{00000000-0000-0000-0000-000000000000}"/>
  <bookViews>
    <workbookView xWindow="-120" yWindow="-120" windowWidth="29040" windowHeight="15720" xr2:uid="{87E15128-24DD-4EFE-86B1-7668A5AAF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4" i="1"/>
  <c r="L5" i="1"/>
  <c r="L4" i="1"/>
  <c r="K3" i="1"/>
  <c r="F2" i="1"/>
  <c r="E2" i="1"/>
  <c r="H2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" i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F3" i="1"/>
  <c r="D4" i="1"/>
  <c r="E4" i="1" s="1"/>
  <c r="D5" i="1"/>
  <c r="E5" i="1"/>
  <c r="D6" i="1"/>
  <c r="E6" i="1"/>
  <c r="D7" i="1"/>
  <c r="E7" i="1" s="1"/>
  <c r="D8" i="1"/>
  <c r="E8" i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/>
  <c r="D18" i="1"/>
  <c r="E18" i="1" s="1"/>
  <c r="D19" i="1"/>
  <c r="E19" i="1" s="1"/>
  <c r="D20" i="1"/>
  <c r="E20" i="1" s="1"/>
  <c r="D21" i="1"/>
  <c r="E21" i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" i="1"/>
  <c r="E3" i="1" s="1"/>
  <c r="I3" i="1" s="1"/>
  <c r="I4" i="1" l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F4" i="1"/>
  <c r="J3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I5" i="1" l="1"/>
  <c r="I6" i="1"/>
  <c r="L6" i="1" s="1"/>
  <c r="J4" i="1"/>
  <c r="M3" i="1"/>
  <c r="J5" i="1" l="1"/>
  <c r="I7" i="1"/>
  <c r="L7" i="1" s="1"/>
  <c r="I8" i="1" l="1"/>
  <c r="L8" i="1" s="1"/>
  <c r="J6" i="1"/>
  <c r="J7" i="1" l="1"/>
  <c r="I9" i="1"/>
  <c r="L9" i="1" s="1"/>
  <c r="I10" i="1" l="1"/>
  <c r="L10" i="1" s="1"/>
  <c r="J8" i="1"/>
  <c r="J9" i="1" l="1"/>
  <c r="I11" i="1"/>
  <c r="L11" i="1" s="1"/>
  <c r="I12" i="1" l="1"/>
  <c r="L12" i="1" s="1"/>
  <c r="J10" i="1"/>
  <c r="I13" i="1" l="1"/>
  <c r="L13" i="1" s="1"/>
  <c r="J11" i="1"/>
  <c r="J12" i="1" l="1"/>
  <c r="I14" i="1"/>
  <c r="L14" i="1" s="1"/>
  <c r="I15" i="1" l="1"/>
  <c r="L15" i="1" s="1"/>
  <c r="J13" i="1"/>
  <c r="J14" i="1" l="1"/>
  <c r="I16" i="1"/>
  <c r="L16" i="1" s="1"/>
  <c r="I17" i="1" l="1"/>
  <c r="L17" i="1" s="1"/>
  <c r="J15" i="1"/>
  <c r="J16" i="1" l="1"/>
  <c r="I18" i="1"/>
  <c r="L18" i="1" s="1"/>
  <c r="J17" i="1" l="1"/>
  <c r="I19" i="1"/>
  <c r="L19" i="1" s="1"/>
  <c r="I20" i="1" l="1"/>
  <c r="L20" i="1" s="1"/>
  <c r="J18" i="1"/>
  <c r="J19" i="1" l="1"/>
  <c r="I21" i="1"/>
  <c r="L21" i="1" s="1"/>
  <c r="I22" i="1" l="1"/>
  <c r="L22" i="1" s="1"/>
  <c r="J20" i="1"/>
  <c r="J21" i="1" l="1"/>
  <c r="I23" i="1"/>
  <c r="L23" i="1" s="1"/>
  <c r="I24" i="1" l="1"/>
  <c r="L24" i="1" s="1"/>
  <c r="J22" i="1"/>
  <c r="J23" i="1" l="1"/>
  <c r="I25" i="1"/>
  <c r="L25" i="1" s="1"/>
  <c r="J24" i="1" l="1"/>
  <c r="I26" i="1"/>
  <c r="L26" i="1" s="1"/>
  <c r="I27" i="1" l="1"/>
  <c r="L27" i="1" s="1"/>
  <c r="J25" i="1"/>
  <c r="J26" i="1" l="1"/>
  <c r="I28" i="1"/>
  <c r="L28" i="1" s="1"/>
  <c r="I29" i="1" l="1"/>
  <c r="L29" i="1" s="1"/>
  <c r="J27" i="1"/>
  <c r="J28" i="1" l="1"/>
  <c r="I30" i="1"/>
  <c r="L30" i="1" s="1"/>
  <c r="I31" i="1" l="1"/>
  <c r="L31" i="1" s="1"/>
  <c r="J29" i="1"/>
  <c r="J30" i="1" l="1"/>
  <c r="I32" i="1"/>
  <c r="L32" i="1" s="1"/>
  <c r="I33" i="1" l="1"/>
  <c r="L33" i="1" s="1"/>
  <c r="J31" i="1"/>
  <c r="J32" i="1" l="1"/>
  <c r="I34" i="1"/>
  <c r="L34" i="1" s="1"/>
  <c r="I35" i="1" l="1"/>
  <c r="L35" i="1" s="1"/>
  <c r="J33" i="1"/>
  <c r="J34" i="1" l="1"/>
  <c r="I36" i="1"/>
  <c r="L36" i="1" s="1"/>
  <c r="I37" i="1" l="1"/>
  <c r="L37" i="1" s="1"/>
  <c r="J35" i="1"/>
  <c r="I38" i="1" l="1"/>
  <c r="L38" i="1" s="1"/>
  <c r="J36" i="1"/>
  <c r="J37" i="1" l="1"/>
  <c r="I39" i="1"/>
  <c r="L39" i="1" s="1"/>
  <c r="I40" i="1" l="1"/>
  <c r="L40" i="1" s="1"/>
  <c r="J38" i="1"/>
  <c r="J39" i="1" l="1"/>
  <c r="I41" i="1"/>
  <c r="L41" i="1" s="1"/>
  <c r="I42" i="1" l="1"/>
  <c r="L42" i="1" s="1"/>
  <c r="J40" i="1"/>
  <c r="J41" i="1" l="1"/>
  <c r="I43" i="1"/>
  <c r="L43" i="1" s="1"/>
  <c r="I44" i="1" l="1"/>
  <c r="L44" i="1" s="1"/>
  <c r="J42" i="1"/>
  <c r="J43" i="1" l="1"/>
  <c r="I45" i="1"/>
  <c r="L45" i="1" s="1"/>
  <c r="I46" i="1" l="1"/>
  <c r="L46" i="1" s="1"/>
  <c r="J44" i="1"/>
  <c r="J45" i="1" l="1"/>
  <c r="I47" i="1"/>
  <c r="L47" i="1" s="1"/>
  <c r="I48" i="1" l="1"/>
  <c r="L48" i="1" s="1"/>
  <c r="J46" i="1"/>
  <c r="J47" i="1" l="1"/>
  <c r="I49" i="1"/>
  <c r="L49" i="1" s="1"/>
  <c r="I50" i="1" l="1"/>
  <c r="L50" i="1" s="1"/>
  <c r="J48" i="1"/>
  <c r="J49" i="1" l="1"/>
  <c r="I51" i="1"/>
  <c r="L51" i="1" s="1"/>
  <c r="I52" i="1" l="1"/>
  <c r="L52" i="1" s="1"/>
  <c r="J50" i="1"/>
  <c r="J51" i="1" l="1"/>
  <c r="I53" i="1"/>
  <c r="L53" i="1" s="1"/>
  <c r="I54" i="1" l="1"/>
  <c r="L54" i="1" s="1"/>
  <c r="J52" i="1"/>
  <c r="J53" i="1" l="1"/>
  <c r="I55" i="1"/>
  <c r="L55" i="1" s="1"/>
  <c r="I56" i="1" l="1"/>
  <c r="L56" i="1" s="1"/>
  <c r="J54" i="1"/>
  <c r="J55" i="1" l="1"/>
  <c r="I57" i="1"/>
  <c r="L57" i="1" s="1"/>
  <c r="I58" i="1" l="1"/>
  <c r="L58" i="1" s="1"/>
  <c r="J56" i="1"/>
  <c r="J57" i="1" l="1"/>
  <c r="I59" i="1"/>
  <c r="L59" i="1" s="1"/>
  <c r="I60" i="1" l="1"/>
  <c r="L60" i="1" s="1"/>
  <c r="J58" i="1"/>
  <c r="J59" i="1" l="1"/>
  <c r="I61" i="1"/>
  <c r="L61" i="1" s="1"/>
  <c r="I62" i="1" l="1"/>
  <c r="L62" i="1" s="1"/>
  <c r="J60" i="1"/>
  <c r="J61" i="1" l="1"/>
  <c r="I63" i="1"/>
  <c r="L63" i="1" s="1"/>
  <c r="I64" i="1" l="1"/>
  <c r="L64" i="1" s="1"/>
  <c r="J62" i="1"/>
  <c r="J63" i="1" l="1"/>
  <c r="I65" i="1"/>
  <c r="L65" i="1" s="1"/>
  <c r="I66" i="1" l="1"/>
  <c r="L66" i="1" s="1"/>
  <c r="J64" i="1"/>
  <c r="J65" i="1" l="1"/>
  <c r="I67" i="1"/>
  <c r="L67" i="1" s="1"/>
  <c r="I68" i="1" l="1"/>
  <c r="L68" i="1" s="1"/>
  <c r="J66" i="1"/>
  <c r="J67" i="1" l="1"/>
  <c r="I69" i="1"/>
  <c r="L69" i="1" s="1"/>
  <c r="I70" i="1" l="1"/>
  <c r="L70" i="1" s="1"/>
  <c r="J68" i="1"/>
  <c r="J69" i="1" l="1"/>
  <c r="I71" i="1"/>
  <c r="L71" i="1" s="1"/>
  <c r="I72" i="1" l="1"/>
  <c r="L72" i="1" s="1"/>
  <c r="J70" i="1"/>
  <c r="J71" i="1" l="1"/>
  <c r="I73" i="1"/>
  <c r="L73" i="1" s="1"/>
  <c r="I74" i="1" l="1"/>
  <c r="L74" i="1" s="1"/>
  <c r="J72" i="1"/>
  <c r="J73" i="1" l="1"/>
  <c r="I75" i="1"/>
  <c r="L75" i="1" s="1"/>
  <c r="I76" i="1" l="1"/>
  <c r="L76" i="1" s="1"/>
  <c r="J74" i="1"/>
  <c r="J75" i="1" l="1"/>
  <c r="I77" i="1"/>
  <c r="L77" i="1" s="1"/>
  <c r="I78" i="1" l="1"/>
  <c r="L78" i="1" s="1"/>
  <c r="J76" i="1"/>
  <c r="J77" i="1" l="1"/>
  <c r="I79" i="1"/>
  <c r="L79" i="1" s="1"/>
  <c r="I80" i="1" l="1"/>
  <c r="L80" i="1" s="1"/>
  <c r="J78" i="1"/>
  <c r="J79" i="1" l="1"/>
  <c r="I81" i="1"/>
  <c r="L81" i="1" s="1"/>
  <c r="I82" i="1" l="1"/>
  <c r="L82" i="1" s="1"/>
  <c r="J80" i="1"/>
  <c r="J81" i="1" l="1"/>
  <c r="I83" i="1"/>
  <c r="L83" i="1" s="1"/>
  <c r="I84" i="1" l="1"/>
  <c r="L84" i="1" s="1"/>
  <c r="J82" i="1"/>
  <c r="J83" i="1" l="1"/>
  <c r="I85" i="1"/>
  <c r="L85" i="1" s="1"/>
  <c r="I86" i="1" l="1"/>
  <c r="L86" i="1" s="1"/>
  <c r="J84" i="1"/>
  <c r="J85" i="1" l="1"/>
  <c r="I87" i="1"/>
  <c r="L87" i="1" s="1"/>
  <c r="I88" i="1" l="1"/>
  <c r="L88" i="1" s="1"/>
  <c r="J86" i="1"/>
  <c r="J87" i="1" l="1"/>
  <c r="I89" i="1"/>
  <c r="L89" i="1" s="1"/>
  <c r="I90" i="1" l="1"/>
  <c r="L90" i="1" s="1"/>
  <c r="J88" i="1"/>
  <c r="J89" i="1" l="1"/>
  <c r="I91" i="1"/>
  <c r="L91" i="1" s="1"/>
  <c r="I92" i="1" l="1"/>
  <c r="L92" i="1" s="1"/>
  <c r="J90" i="1"/>
  <c r="J91" i="1" l="1"/>
  <c r="I93" i="1"/>
  <c r="L93" i="1" s="1"/>
  <c r="I94" i="1" l="1"/>
  <c r="L94" i="1" s="1"/>
  <c r="J92" i="1"/>
  <c r="J93" i="1" l="1"/>
  <c r="I95" i="1"/>
  <c r="L95" i="1" s="1"/>
  <c r="I96" i="1" l="1"/>
  <c r="L96" i="1" s="1"/>
  <c r="J94" i="1"/>
  <c r="J95" i="1" l="1"/>
  <c r="I97" i="1"/>
  <c r="L97" i="1" s="1"/>
  <c r="I98" i="1" l="1"/>
  <c r="L98" i="1" s="1"/>
  <c r="J96" i="1"/>
  <c r="J97" i="1" l="1"/>
  <c r="I99" i="1"/>
  <c r="L99" i="1" s="1"/>
  <c r="I100" i="1" l="1"/>
  <c r="L100" i="1" s="1"/>
  <c r="J98" i="1"/>
  <c r="J99" i="1" l="1"/>
  <c r="I101" i="1"/>
  <c r="L101" i="1" s="1"/>
  <c r="J100" i="1" l="1"/>
  <c r="J101" i="1" l="1"/>
</calcChain>
</file>

<file path=xl/sharedStrings.xml><?xml version="1.0" encoding="utf-8"?>
<sst xmlns="http://schemas.openxmlformats.org/spreadsheetml/2006/main" count="13" uniqueCount="12">
  <si>
    <t>OPEN</t>
  </si>
  <si>
    <t>DATE</t>
  </si>
  <si>
    <t>RATE</t>
  </si>
  <si>
    <t>RATEPCT</t>
  </si>
  <si>
    <t>DCA</t>
  </si>
  <si>
    <t>RATEPCT+1</t>
  </si>
  <si>
    <t>LUMPSUM</t>
  </si>
  <si>
    <t>LUMPSUM-NAV</t>
  </si>
  <si>
    <t>DCM-NAV</t>
  </si>
  <si>
    <t>CUMSUM</t>
  </si>
  <si>
    <t>DCM-LOSSDENSITY</t>
  </si>
  <si>
    <t>LUMPSUM-LOSSDENSITY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</si>
</sst>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LUMPSUM-NAV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Sheet1!$B$3:$B$101</c:f>
              <c:numCache>
                <c:formatCode>General</c:formatCode>
                <c:ptCount val="99"/>
                <c:pt idx="0">
                  <c:v>1928</c:v>
                </c:pt>
                <c:pt idx="1">
                  <c:v>1929</c:v>
                </c:pt>
                <c:pt idx="2">
                  <c:v>1930</c:v>
                </c:pt>
                <c:pt idx="3">
                  <c:v>1931</c:v>
                </c:pt>
                <c:pt idx="4">
                  <c:v>1932</c:v>
                </c:pt>
                <c:pt idx="5">
                  <c:v>1933</c:v>
                </c:pt>
                <c:pt idx="6">
                  <c:v>1934</c:v>
                </c:pt>
                <c:pt idx="7">
                  <c:v>1935</c:v>
                </c:pt>
                <c:pt idx="8">
                  <c:v>1936</c:v>
                </c:pt>
                <c:pt idx="9">
                  <c:v>1937</c:v>
                </c:pt>
                <c:pt idx="10">
                  <c:v>1938</c:v>
                </c:pt>
                <c:pt idx="11">
                  <c:v>1939</c:v>
                </c:pt>
                <c:pt idx="12">
                  <c:v>1940</c:v>
                </c:pt>
                <c:pt idx="13">
                  <c:v>1941</c:v>
                </c:pt>
                <c:pt idx="14">
                  <c:v>1942</c:v>
                </c:pt>
                <c:pt idx="15">
                  <c:v>1943</c:v>
                </c:pt>
                <c:pt idx="16">
                  <c:v>1944</c:v>
                </c:pt>
                <c:pt idx="17">
                  <c:v>1945</c:v>
                </c:pt>
                <c:pt idx="18">
                  <c:v>1946</c:v>
                </c:pt>
                <c:pt idx="19">
                  <c:v>1947</c:v>
                </c:pt>
                <c:pt idx="20">
                  <c:v>1948</c:v>
                </c:pt>
                <c:pt idx="21">
                  <c:v>1949</c:v>
                </c:pt>
                <c:pt idx="22">
                  <c:v>1950</c:v>
                </c:pt>
                <c:pt idx="23">
                  <c:v>1951</c:v>
                </c:pt>
                <c:pt idx="24">
                  <c:v>1952</c:v>
                </c:pt>
                <c:pt idx="25">
                  <c:v>1953</c:v>
                </c:pt>
                <c:pt idx="26">
                  <c:v>1954</c:v>
                </c:pt>
                <c:pt idx="27">
                  <c:v>1955</c:v>
                </c:pt>
                <c:pt idx="28">
                  <c:v>1956</c:v>
                </c:pt>
                <c:pt idx="29">
                  <c:v>1957</c:v>
                </c:pt>
                <c:pt idx="30">
                  <c:v>1958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1979</c:v>
                </c:pt>
                <c:pt idx="52">
                  <c:v>1980</c:v>
                </c:pt>
                <c:pt idx="53">
                  <c:v>1981</c:v>
                </c:pt>
                <c:pt idx="54">
                  <c:v>1982</c:v>
                </c:pt>
                <c:pt idx="55">
                  <c:v>1983</c:v>
                </c:pt>
                <c:pt idx="56">
                  <c:v>1984</c:v>
                </c:pt>
                <c:pt idx="57">
                  <c:v>1985</c:v>
                </c:pt>
                <c:pt idx="58">
                  <c:v>1986</c:v>
                </c:pt>
                <c:pt idx="59">
                  <c:v>1987</c:v>
                </c:pt>
                <c:pt idx="60">
                  <c:v>1988</c:v>
                </c:pt>
                <c:pt idx="61">
                  <c:v>1989</c:v>
                </c:pt>
                <c:pt idx="62">
                  <c:v>1990</c:v>
                </c:pt>
                <c:pt idx="63">
                  <c:v>1991</c:v>
                </c:pt>
                <c:pt idx="64">
                  <c:v>1992</c:v>
                </c:pt>
                <c:pt idx="65">
                  <c:v>1993</c:v>
                </c:pt>
                <c:pt idx="66">
                  <c:v>1994</c:v>
                </c:pt>
                <c:pt idx="67">
                  <c:v>1995</c:v>
                </c:pt>
                <c:pt idx="68">
                  <c:v>1996</c:v>
                </c:pt>
                <c:pt idx="69">
                  <c:v>1997</c:v>
                </c:pt>
                <c:pt idx="70">
                  <c:v>1998</c:v>
                </c:pt>
                <c:pt idx="71">
                  <c:v>1999</c:v>
                </c:pt>
                <c:pt idx="72">
                  <c:v>2000</c:v>
                </c:pt>
                <c:pt idx="73">
                  <c:v>2001</c:v>
                </c:pt>
                <c:pt idx="74">
                  <c:v>2002</c:v>
                </c:pt>
                <c:pt idx="75">
                  <c:v>2003</c:v>
                </c:pt>
                <c:pt idx="76">
                  <c:v>2004</c:v>
                </c:pt>
                <c:pt idx="77">
                  <c:v>2005</c:v>
                </c:pt>
                <c:pt idx="78">
                  <c:v>2006</c:v>
                </c:pt>
                <c:pt idx="79">
                  <c:v>2007</c:v>
                </c:pt>
                <c:pt idx="80">
                  <c:v>2008</c:v>
                </c:pt>
                <c:pt idx="81">
                  <c:v>2009</c:v>
                </c:pt>
                <c:pt idx="82">
                  <c:v>2010</c:v>
                </c:pt>
                <c:pt idx="83">
                  <c:v>2011</c:v>
                </c:pt>
                <c:pt idx="84">
                  <c:v>2012</c:v>
                </c:pt>
                <c:pt idx="85">
                  <c:v>2013</c:v>
                </c:pt>
                <c:pt idx="86">
                  <c:v>2014</c:v>
                </c:pt>
                <c:pt idx="87">
                  <c:v>2015</c:v>
                </c:pt>
                <c:pt idx="88">
                  <c:v>2016</c:v>
                </c:pt>
                <c:pt idx="89">
                  <c:v>2017</c:v>
                </c:pt>
                <c:pt idx="90">
                  <c:v>2018</c:v>
                </c:pt>
                <c:pt idx="91">
                  <c:v>2019</c:v>
                </c:pt>
                <c:pt idx="92">
                  <c:v>2020</c:v>
                </c:pt>
                <c:pt idx="93">
                  <c:v>2021</c:v>
                </c:pt>
                <c:pt idx="94">
                  <c:v>2022</c:v>
                </c:pt>
                <c:pt idx="95">
                  <c:v>2023</c:v>
                </c:pt>
                <c:pt idx="96">
                  <c:v>2024</c:v>
                </c:pt>
                <c:pt idx="97">
                  <c:v>2025</c:v>
                </c:pt>
                <c:pt idx="98">
                  <c:v>2026</c:v>
                </c:pt>
              </c:numCache>
            </c:numRef>
          </c:cat>
          <c:val>
            <c:numRef>
              <c:f>Sheet1!$I$3:$I$101</c:f>
              <c:numCache>
                <c:formatCode>General</c:formatCode>
                <c:ptCount val="99"/>
                <c:pt idx="0">
                  <c:v>13788</c:v>
                </c:pt>
                <c:pt idx="1">
                  <c:v>12145.849200000001</c:v>
                </c:pt>
                <c:pt idx="2">
                  <c:v>8686.7113478400006</c:v>
                </c:pt>
                <c:pt idx="3">
                  <c:v>4597.8763164117127</c:v>
                </c:pt>
                <c:pt idx="4">
                  <c:v>3901.2980544753382</c:v>
                </c:pt>
                <c:pt idx="5">
                  <c:v>5718.912818055398</c:v>
                </c:pt>
                <c:pt idx="6">
                  <c:v>5379.2093966629072</c:v>
                </c:pt>
                <c:pt idx="7">
                  <c:v>7604.5883240623516</c:v>
                </c:pt>
                <c:pt idx="8">
                  <c:v>9727.7893841405585</c:v>
                </c:pt>
                <c:pt idx="9">
                  <c:v>5973.8354608007166</c:v>
                </c:pt>
                <c:pt idx="10">
                  <c:v>7479.8393804685775</c:v>
                </c:pt>
                <c:pt idx="11">
                  <c:v>7072.1881342330398</c:v>
                </c:pt>
                <c:pt idx="12">
                  <c:v>5990.8505685088076</c:v>
                </c:pt>
                <c:pt idx="13">
                  <c:v>4920.884656973135</c:v>
                </c:pt>
                <c:pt idx="14">
                  <c:v>5532.5506198348958</c:v>
                </c:pt>
                <c:pt idx="15">
                  <c:v>6608.6317153927839</c:v>
                </c:pt>
                <c:pt idx="16">
                  <c:v>7520.6228921169877</c:v>
                </c:pt>
                <c:pt idx="17">
                  <c:v>9830.9582445753258</c:v>
                </c:pt>
                <c:pt idx="18">
                  <c:v>8664.0235009442349</c:v>
                </c:pt>
                <c:pt idx="19">
                  <c:v>8664.0235009442349</c:v>
                </c:pt>
                <c:pt idx="20">
                  <c:v>8607.707348188098</c:v>
                </c:pt>
                <c:pt idx="21">
                  <c:v>9490.8581221121967</c:v>
                </c:pt>
                <c:pt idx="22">
                  <c:v>11557.967021108234</c:v>
                </c:pt>
                <c:pt idx="23">
                  <c:v>13460.40839278265</c:v>
                </c:pt>
                <c:pt idx="24">
                  <c:v>15046.044501452445</c:v>
                </c:pt>
                <c:pt idx="25">
                  <c:v>14049.996355456293</c:v>
                </c:pt>
                <c:pt idx="26">
                  <c:v>20375.304714682719</c:v>
                </c:pt>
                <c:pt idx="27">
                  <c:v>25754.385159358957</c:v>
                </c:pt>
                <c:pt idx="28">
                  <c:v>26429.150050534161</c:v>
                </c:pt>
                <c:pt idx="29">
                  <c:v>22647.138678302723</c:v>
                </c:pt>
                <c:pt idx="30">
                  <c:v>31266.63965926474</c:v>
                </c:pt>
                <c:pt idx="31">
                  <c:v>33918.05070237039</c:v>
                </c:pt>
                <c:pt idx="32">
                  <c:v>32910.684596509993</c:v>
                </c:pt>
                <c:pt idx="33">
                  <c:v>40522.925943682756</c:v>
                </c:pt>
                <c:pt idx="34">
                  <c:v>35737.168389733823</c:v>
                </c:pt>
                <c:pt idx="35">
                  <c:v>42487.919498554547</c:v>
                </c:pt>
                <c:pt idx="36">
                  <c:v>47998.602657517069</c:v>
                </c:pt>
                <c:pt idx="37">
                  <c:v>52347.276058288116</c:v>
                </c:pt>
                <c:pt idx="38">
                  <c:v>45495.017622258201</c:v>
                </c:pt>
                <c:pt idx="39">
                  <c:v>54634.966662569881</c:v>
                </c:pt>
                <c:pt idx="40">
                  <c:v>58820.005108922735</c:v>
                </c:pt>
                <c:pt idx="41">
                  <c:v>52138.052528549109</c:v>
                </c:pt>
                <c:pt idx="42">
                  <c:v>52190.190581077652</c:v>
                </c:pt>
                <c:pt idx="43">
                  <c:v>57821.512144775923</c:v>
                </c:pt>
                <c:pt idx="44">
                  <c:v>66859.01449300439</c:v>
                </c:pt>
                <c:pt idx="45">
                  <c:v>55245.603675569531</c:v>
                </c:pt>
                <c:pt idx="46">
                  <c:v>38826.610263190269</c:v>
                </c:pt>
                <c:pt idx="47">
                  <c:v>51076.4058012268</c:v>
                </c:pt>
                <c:pt idx="48">
                  <c:v>60857.537512161733</c:v>
                </c:pt>
                <c:pt idx="49">
                  <c:v>53858.920698263137</c:v>
                </c:pt>
                <c:pt idx="50">
                  <c:v>54429.825257664721</c:v>
                </c:pt>
                <c:pt idx="51">
                  <c:v>61130.136746883247</c:v>
                </c:pt>
                <c:pt idx="52">
                  <c:v>76883.372986555056</c:v>
                </c:pt>
                <c:pt idx="53">
                  <c:v>69402.620794963252</c:v>
                </c:pt>
                <c:pt idx="54">
                  <c:v>79646.447624299821</c:v>
                </c:pt>
                <c:pt idx="55">
                  <c:v>93401.389129016403</c:v>
                </c:pt>
                <c:pt idx="56">
                  <c:v>94709.008576822627</c:v>
                </c:pt>
                <c:pt idx="57">
                  <c:v>119645.89053510003</c:v>
                </c:pt>
                <c:pt idx="58">
                  <c:v>137138.11973133165</c:v>
                </c:pt>
                <c:pt idx="59">
                  <c:v>139922.02356187769</c:v>
                </c:pt>
                <c:pt idx="60">
                  <c:v>157272.35448355053</c:v>
                </c:pt>
                <c:pt idx="61">
                  <c:v>200129.07108031804</c:v>
                </c:pt>
                <c:pt idx="62">
                  <c:v>187000.60401744919</c:v>
                </c:pt>
                <c:pt idx="63">
                  <c:v>236200.46293444009</c:v>
                </c:pt>
                <c:pt idx="64">
                  <c:v>246735.00358131612</c:v>
                </c:pt>
                <c:pt idx="65">
                  <c:v>264154.49483415706</c:v>
                </c:pt>
                <c:pt idx="66">
                  <c:v>260086.51561371103</c:v>
                </c:pt>
                <c:pt idx="67">
                  <c:v>348802.02608954784</c:v>
                </c:pt>
                <c:pt idx="68">
                  <c:v>419469.31657529017</c:v>
                </c:pt>
                <c:pt idx="69">
                  <c:v>549546.75164528762</c:v>
                </c:pt>
                <c:pt idx="70">
                  <c:v>696110.87030908582</c:v>
                </c:pt>
                <c:pt idx="71">
                  <c:v>832061.32328045031</c:v>
                </c:pt>
                <c:pt idx="72">
                  <c:v>747690.30509981257</c:v>
                </c:pt>
                <c:pt idx="73">
                  <c:v>650191.48931479699</c:v>
                </c:pt>
                <c:pt idx="74">
                  <c:v>498241.7382619289</c:v>
                </c:pt>
                <c:pt idx="75">
                  <c:v>629677.9088154257</c:v>
                </c:pt>
                <c:pt idx="76">
                  <c:v>686285.95281793259</c:v>
                </c:pt>
                <c:pt idx="77">
                  <c:v>706874.53140247054</c:v>
                </c:pt>
                <c:pt idx="78">
                  <c:v>803150.84257948713</c:v>
                </c:pt>
                <c:pt idx="79">
                  <c:v>831502.06732254289</c:v>
                </c:pt>
                <c:pt idx="80">
                  <c:v>511456.92161009612</c:v>
                </c:pt>
                <c:pt idx="81">
                  <c:v>631393.56972766365</c:v>
                </c:pt>
                <c:pt idx="82">
                  <c:v>712085.66793885897</c:v>
                </c:pt>
                <c:pt idx="83">
                  <c:v>712085.66793885897</c:v>
                </c:pt>
                <c:pt idx="84">
                  <c:v>807576.35600946005</c:v>
                </c:pt>
                <c:pt idx="85">
                  <c:v>1046618.9573882603</c:v>
                </c:pt>
                <c:pt idx="86">
                  <c:v>1165828.8566347833</c:v>
                </c:pt>
                <c:pt idx="87">
                  <c:v>1157318.3059813494</c:v>
                </c:pt>
                <c:pt idx="88">
                  <c:v>1267726.4723719701</c:v>
                </c:pt>
                <c:pt idx="89">
                  <c:v>1513918.9533066065</c:v>
                </c:pt>
                <c:pt idx="90">
                  <c:v>1419450.4106202743</c:v>
                </c:pt>
                <c:pt idx="91">
                  <c:v>1829387.6892074093</c:v>
                </c:pt>
                <c:pt idx="92">
                  <c:v>2126846.1274725343</c:v>
                </c:pt>
                <c:pt idx="93">
                  <c:v>2698755.0511498987</c:v>
                </c:pt>
                <c:pt idx="94">
                  <c:v>2174117.0692063584</c:v>
                </c:pt>
                <c:pt idx="95">
                  <c:v>2700905.6350750588</c:v>
                </c:pt>
                <c:pt idx="96">
                  <c:v>3330486.7386110546</c:v>
                </c:pt>
                <c:pt idx="97">
                  <c:v>3876353.515069406</c:v>
                </c:pt>
                <c:pt idx="98">
                  <c:v>4094204.5826163068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D-4FE7-AF9E-9B4FFE71D831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DCM-NAV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Sheet1!$B$3:$B$101</c:f>
              <c:numCache>
                <c:formatCode>General</c:formatCode>
                <c:ptCount val="99"/>
                <c:pt idx="0">
                  <c:v>1928</c:v>
                </c:pt>
                <c:pt idx="1">
                  <c:v>1929</c:v>
                </c:pt>
                <c:pt idx="2">
                  <c:v>1930</c:v>
                </c:pt>
                <c:pt idx="3">
                  <c:v>1931</c:v>
                </c:pt>
                <c:pt idx="4">
                  <c:v>1932</c:v>
                </c:pt>
                <c:pt idx="5">
                  <c:v>1933</c:v>
                </c:pt>
                <c:pt idx="6">
                  <c:v>1934</c:v>
                </c:pt>
                <c:pt idx="7">
                  <c:v>1935</c:v>
                </c:pt>
                <c:pt idx="8">
                  <c:v>1936</c:v>
                </c:pt>
                <c:pt idx="9">
                  <c:v>1937</c:v>
                </c:pt>
                <c:pt idx="10">
                  <c:v>1938</c:v>
                </c:pt>
                <c:pt idx="11">
                  <c:v>1939</c:v>
                </c:pt>
                <c:pt idx="12">
                  <c:v>1940</c:v>
                </c:pt>
                <c:pt idx="13">
                  <c:v>1941</c:v>
                </c:pt>
                <c:pt idx="14">
                  <c:v>1942</c:v>
                </c:pt>
                <c:pt idx="15">
                  <c:v>1943</c:v>
                </c:pt>
                <c:pt idx="16">
                  <c:v>1944</c:v>
                </c:pt>
                <c:pt idx="17">
                  <c:v>1945</c:v>
                </c:pt>
                <c:pt idx="18">
                  <c:v>1946</c:v>
                </c:pt>
                <c:pt idx="19">
                  <c:v>1947</c:v>
                </c:pt>
                <c:pt idx="20">
                  <c:v>1948</c:v>
                </c:pt>
                <c:pt idx="21">
                  <c:v>1949</c:v>
                </c:pt>
                <c:pt idx="22">
                  <c:v>1950</c:v>
                </c:pt>
                <c:pt idx="23">
                  <c:v>1951</c:v>
                </c:pt>
                <c:pt idx="24">
                  <c:v>1952</c:v>
                </c:pt>
                <c:pt idx="25">
                  <c:v>1953</c:v>
                </c:pt>
                <c:pt idx="26">
                  <c:v>1954</c:v>
                </c:pt>
                <c:pt idx="27">
                  <c:v>1955</c:v>
                </c:pt>
                <c:pt idx="28">
                  <c:v>1956</c:v>
                </c:pt>
                <c:pt idx="29">
                  <c:v>1957</c:v>
                </c:pt>
                <c:pt idx="30">
                  <c:v>1958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1979</c:v>
                </c:pt>
                <c:pt idx="52">
                  <c:v>1980</c:v>
                </c:pt>
                <c:pt idx="53">
                  <c:v>1981</c:v>
                </c:pt>
                <c:pt idx="54">
                  <c:v>1982</c:v>
                </c:pt>
                <c:pt idx="55">
                  <c:v>1983</c:v>
                </c:pt>
                <c:pt idx="56">
                  <c:v>1984</c:v>
                </c:pt>
                <c:pt idx="57">
                  <c:v>1985</c:v>
                </c:pt>
                <c:pt idx="58">
                  <c:v>1986</c:v>
                </c:pt>
                <c:pt idx="59">
                  <c:v>1987</c:v>
                </c:pt>
                <c:pt idx="60">
                  <c:v>1988</c:v>
                </c:pt>
                <c:pt idx="61">
                  <c:v>1989</c:v>
                </c:pt>
                <c:pt idx="62">
                  <c:v>1990</c:v>
                </c:pt>
                <c:pt idx="63">
                  <c:v>1991</c:v>
                </c:pt>
                <c:pt idx="64">
                  <c:v>1992</c:v>
                </c:pt>
                <c:pt idx="65">
                  <c:v>1993</c:v>
                </c:pt>
                <c:pt idx="66">
                  <c:v>1994</c:v>
                </c:pt>
                <c:pt idx="67">
                  <c:v>1995</c:v>
                </c:pt>
                <c:pt idx="68">
                  <c:v>1996</c:v>
                </c:pt>
                <c:pt idx="69">
                  <c:v>1997</c:v>
                </c:pt>
                <c:pt idx="70">
                  <c:v>1998</c:v>
                </c:pt>
                <c:pt idx="71">
                  <c:v>1999</c:v>
                </c:pt>
                <c:pt idx="72">
                  <c:v>2000</c:v>
                </c:pt>
                <c:pt idx="73">
                  <c:v>2001</c:v>
                </c:pt>
                <c:pt idx="74">
                  <c:v>2002</c:v>
                </c:pt>
                <c:pt idx="75">
                  <c:v>2003</c:v>
                </c:pt>
                <c:pt idx="76">
                  <c:v>2004</c:v>
                </c:pt>
                <c:pt idx="77">
                  <c:v>2005</c:v>
                </c:pt>
                <c:pt idx="78">
                  <c:v>2006</c:v>
                </c:pt>
                <c:pt idx="79">
                  <c:v>2007</c:v>
                </c:pt>
                <c:pt idx="80">
                  <c:v>2008</c:v>
                </c:pt>
                <c:pt idx="81">
                  <c:v>2009</c:v>
                </c:pt>
                <c:pt idx="82">
                  <c:v>2010</c:v>
                </c:pt>
                <c:pt idx="83">
                  <c:v>2011</c:v>
                </c:pt>
                <c:pt idx="84">
                  <c:v>2012</c:v>
                </c:pt>
                <c:pt idx="85">
                  <c:v>2013</c:v>
                </c:pt>
                <c:pt idx="86">
                  <c:v>2014</c:v>
                </c:pt>
                <c:pt idx="87">
                  <c:v>2015</c:v>
                </c:pt>
                <c:pt idx="88">
                  <c:v>2016</c:v>
                </c:pt>
                <c:pt idx="89">
                  <c:v>2017</c:v>
                </c:pt>
                <c:pt idx="90">
                  <c:v>2018</c:v>
                </c:pt>
                <c:pt idx="91">
                  <c:v>2019</c:v>
                </c:pt>
                <c:pt idx="92">
                  <c:v>2020</c:v>
                </c:pt>
                <c:pt idx="93">
                  <c:v>2021</c:v>
                </c:pt>
                <c:pt idx="94">
                  <c:v>2022</c:v>
                </c:pt>
                <c:pt idx="95">
                  <c:v>2023</c:v>
                </c:pt>
                <c:pt idx="96">
                  <c:v>2024</c:v>
                </c:pt>
                <c:pt idx="97">
                  <c:v>2025</c:v>
                </c:pt>
                <c:pt idx="98">
                  <c:v>2026</c:v>
                </c:pt>
              </c:numCache>
            </c:numRef>
          </c:cat>
          <c:val>
            <c:numRef>
              <c:f>Sheet1!$J$3:$J$101</c:f>
              <c:numCache>
                <c:formatCode>General</c:formatCode>
                <c:ptCount val="99"/>
                <c:pt idx="0">
                  <c:v>139.27272727272728</c:v>
                </c:pt>
                <c:pt idx="1">
                  <c:v>211.66514343434346</c:v>
                </c:pt>
                <c:pt idx="2">
                  <c:v>223.62533482666672</c:v>
                </c:pt>
                <c:pt idx="3">
                  <c:v>171.82953618840116</c:v>
                </c:pt>
                <c:pt idx="4">
                  <c:v>231.50443216292911</c:v>
                </c:pt>
                <c:pt idx="5">
                  <c:v>487.43305417834483</c:v>
                </c:pt>
                <c:pt idx="6">
                  <c:v>553.48963177025212</c:v>
                </c:pt>
                <c:pt idx="7">
                  <c:v>925.26627223158516</c:v>
                </c:pt>
                <c:pt idx="8">
                  <c:v>1312.8127366507649</c:v>
                </c:pt>
                <c:pt idx="9">
                  <c:v>868.2286046075377</c:v>
                </c:pt>
                <c:pt idx="10">
                  <c:v>1213.5837833038456</c:v>
                </c:pt>
                <c:pt idx="11">
                  <c:v>1242.9485176188366</c:v>
                </c:pt>
                <c:pt idx="12">
                  <c:v>1138.467345840573</c:v>
                </c:pt>
                <c:pt idx="13">
                  <c:v>1018.1067748431436</c:v>
                </c:pt>
                <c:pt idx="14">
                  <c:v>1258.2231035218031</c:v>
                </c:pt>
                <c:pt idx="15">
                  <c:v>1623.6040628133594</c:v>
                </c:pt>
                <c:pt idx="16">
                  <c:v>1962.6109184310978</c:v>
                </c:pt>
                <c:pt idx="17">
                  <c:v>2697.5653966135351</c:v>
                </c:pt>
                <c:pt idx="18">
                  <c:v>2466.3845860557103</c:v>
                </c:pt>
                <c:pt idx="19">
                  <c:v>2567.3946870658115</c:v>
                </c:pt>
                <c:pt idx="20">
                  <c:v>2651.0601569534192</c:v>
                </c:pt>
                <c:pt idx="21">
                  <c:v>3034.4326664305772</c:v>
                </c:pt>
                <c:pt idx="22">
                  <c:v>3818.3422021892579</c:v>
                </c:pt>
                <c:pt idx="23">
                  <c:v>4564.4776923059744</c:v>
                </c:pt>
                <c:pt idx="24">
                  <c:v>5215.0822553687085</c:v>
                </c:pt>
                <c:pt idx="25">
                  <c:v>4964.1670423865326</c:v>
                </c:pt>
                <c:pt idx="26">
                  <c:v>7345.5198933537995</c:v>
                </c:pt>
                <c:pt idx="27">
                  <c:v>9412.4139128759707</c:v>
                </c:pt>
                <c:pt idx="28">
                  <c:v>9762.6757230498861</c:v>
                </c:pt>
                <c:pt idx="29">
                  <c:v>8452.1923826370021</c:v>
                </c:pt>
                <c:pt idx="30">
                  <c:v>11808.551348923191</c:v>
                </c:pt>
                <c:pt idx="31">
                  <c:v>12919.492260887635</c:v>
                </c:pt>
                <c:pt idx="32">
                  <c:v>12633.793441749374</c:v>
                </c:pt>
                <c:pt idx="33">
                  <c:v>15680.363602199743</c:v>
                </c:pt>
                <c:pt idx="34">
                  <c:v>13917.593468860761</c:v>
                </c:pt>
                <c:pt idx="35">
                  <c:v>16666.717784219469</c:v>
                </c:pt>
                <c:pt idx="36">
                  <c:v>18942.50219194384</c:v>
                </c:pt>
                <c:pt idx="37">
                  <c:v>20768.854506695567</c:v>
                </c:pt>
                <c:pt idx="38">
                  <c:v>18137.999330556995</c:v>
                </c:pt>
                <c:pt idx="39">
                  <c:v>21903.226426368929</c:v>
                </c:pt>
                <c:pt idx="40">
                  <c:v>23689.761045376261</c:v>
                </c:pt>
                <c:pt idx="41">
                  <c:v>21088.139544156871</c:v>
                </c:pt>
                <c:pt idx="42">
                  <c:v>21210.338794812134</c:v>
                </c:pt>
                <c:pt idx="43">
                  <c:v>23610.843441681453</c:v>
                </c:pt>
                <c:pt idx="44">
                  <c:v>27418.016251414239</c:v>
                </c:pt>
                <c:pt idx="45">
                  <c:v>22738.971475008235</c:v>
                </c:pt>
                <c:pt idx="46">
                  <c:v>16051.939051625688</c:v>
                </c:pt>
                <c:pt idx="47">
                  <c:v>21249.204610292381</c:v>
                </c:pt>
                <c:pt idx="48">
                  <c:v>25438.780828516909</c:v>
                </c:pt>
                <c:pt idx="49">
                  <c:v>22602.714972631406</c:v>
                </c:pt>
                <c:pt idx="50">
                  <c:v>22944.384559422106</c:v>
                </c:pt>
                <c:pt idx="51">
                  <c:v>25882.282743131411</c:v>
                </c:pt>
                <c:pt idx="52">
                  <c:v>32679.187410076778</c:v>
                </c:pt>
                <c:pt idx="53">
                  <c:v>29590.684293258128</c:v>
                </c:pt>
                <c:pt idx="54">
                  <c:v>34074.188486862222</c:v>
                </c:pt>
                <c:pt idx="55">
                  <c:v>40077.255383997872</c:v>
                </c:pt>
                <c:pt idx="56">
                  <c:v>40740.761201798079</c:v>
                </c:pt>
                <c:pt idx="57">
                  <c:v>51595.409686837578</c:v>
                </c:pt>
                <c:pt idx="58">
                  <c:v>59254.436360831009</c:v>
                </c:pt>
                <c:pt idx="59">
                  <c:v>60560.362025016482</c:v>
                </c:pt>
                <c:pt idx="60">
                  <c:v>68183.382269653885</c:v>
                </c:pt>
                <c:pt idx="61">
                  <c:v>86891.889291669911</c:v>
                </c:pt>
                <c:pt idx="62">
                  <c:v>81286.165192520217</c:v>
                </c:pt>
                <c:pt idx="63">
                  <c:v>102800.14111325814</c:v>
                </c:pt>
                <c:pt idx="64">
                  <c:v>107490.5425584246</c:v>
                </c:pt>
                <c:pt idx="65">
                  <c:v>115187.51627719079</c:v>
                </c:pt>
                <c:pt idx="66">
                  <c:v>113513.08307197661</c:v>
                </c:pt>
                <c:pt idx="67">
                  <c:v>152367.86035429247</c:v>
                </c:pt>
                <c:pt idx="68">
                  <c:v>183359.06360954684</c:v>
                </c:pt>
                <c:pt idx="69">
                  <c:v>240351.04256820068</c:v>
                </c:pt>
                <c:pt idx="70">
                  <c:v>304580.61511608929</c:v>
                </c:pt>
                <c:pt idx="71">
                  <c:v>364185.94662199891</c:v>
                </c:pt>
                <c:pt idx="72">
                  <c:v>327348.25931129587</c:v>
                </c:pt>
                <c:pt idx="73">
                  <c:v>284749.88468094124</c:v>
                </c:pt>
                <c:pt idx="74">
                  <c:v>218281.24067140929</c:v>
                </c:pt>
                <c:pt idx="75">
                  <c:v>275991.48852618365</c:v>
                </c:pt>
                <c:pt idx="76">
                  <c:v>300913.21425377845</c:v>
                </c:pt>
                <c:pt idx="77">
                  <c:v>310044.65108543221</c:v>
                </c:pt>
                <c:pt idx="78">
                  <c:v>352387.50024003576</c:v>
                </c:pt>
                <c:pt idx="79">
                  <c:v>364931.35475608474</c:v>
                </c:pt>
                <c:pt idx="80">
                  <c:v>224531.40762359902</c:v>
                </c:pt>
                <c:pt idx="81">
                  <c:v>277308.71968102996</c:v>
                </c:pt>
                <c:pt idx="82">
                  <c:v>312862.69324818481</c:v>
                </c:pt>
                <c:pt idx="83">
                  <c:v>312963.7033491949</c:v>
                </c:pt>
                <c:pt idx="84">
                  <c:v>355046.69152387755</c:v>
                </c:pt>
                <c:pt idx="85">
                  <c:v>460271.42130585446</c:v>
                </c:pt>
                <c:pt idx="86">
                  <c:v>512808.85134410649</c:v>
                </c:pt>
                <c:pt idx="87">
                  <c:v>509165.61945656722</c:v>
                </c:pt>
                <c:pt idx="88">
                  <c:v>557850.66601737018</c:v>
                </c:pt>
                <c:pt idx="89">
                  <c:v>666305.89162056975</c:v>
                </c:pt>
                <c:pt idx="90">
                  <c:v>624823.1110541533</c:v>
                </c:pt>
                <c:pt idx="91">
                  <c:v>805402.20734477451</c:v>
                </c:pt>
                <c:pt idx="92">
                  <c:v>936478.04060246923</c:v>
                </c:pt>
                <c:pt idx="93">
                  <c:v>1188425.1574376449</c:v>
                </c:pt>
                <c:pt idx="94">
                  <c:v>957476.68056914047</c:v>
                </c:pt>
                <c:pt idx="95">
                  <c:v>1189598.7651195279</c:v>
                </c:pt>
                <c:pt idx="96">
                  <c:v>1467018.7928244453</c:v>
                </c:pt>
                <c:pt idx="97">
                  <c:v>1707580.7386249374</c:v>
                </c:pt>
                <c:pt idx="98">
                  <c:v>1803653.4630043458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0D-4FE7-AF9E-9B4FFE71D831}"/>
            </c:ext>
          </c:extLst>
        </c:ser>
        <c:ser>
          <c:idx val="2"/>
          <c:order val="2"/>
          <c:tx>
            <c:strRef>
              <c:f>Sheet1!$K$1</c:f>
              <c:strCache>
                <c:ptCount val="1"/>
                <c:pt idx="0">
                  <c:v>CUMSUM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Sheet1!$B$3:$B$101</c:f>
              <c:numCache>
                <c:formatCode>General</c:formatCode>
                <c:ptCount val="99"/>
                <c:pt idx="0">
                  <c:v>1928</c:v>
                </c:pt>
                <c:pt idx="1">
                  <c:v>1929</c:v>
                </c:pt>
                <c:pt idx="2">
                  <c:v>1930</c:v>
                </c:pt>
                <c:pt idx="3">
                  <c:v>1931</c:v>
                </c:pt>
                <c:pt idx="4">
                  <c:v>1932</c:v>
                </c:pt>
                <c:pt idx="5">
                  <c:v>1933</c:v>
                </c:pt>
                <c:pt idx="6">
                  <c:v>1934</c:v>
                </c:pt>
                <c:pt idx="7">
                  <c:v>1935</c:v>
                </c:pt>
                <c:pt idx="8">
                  <c:v>1936</c:v>
                </c:pt>
                <c:pt idx="9">
                  <c:v>1937</c:v>
                </c:pt>
                <c:pt idx="10">
                  <c:v>1938</c:v>
                </c:pt>
                <c:pt idx="11">
                  <c:v>1939</c:v>
                </c:pt>
                <c:pt idx="12">
                  <c:v>1940</c:v>
                </c:pt>
                <c:pt idx="13">
                  <c:v>1941</c:v>
                </c:pt>
                <c:pt idx="14">
                  <c:v>1942</c:v>
                </c:pt>
                <c:pt idx="15">
                  <c:v>1943</c:v>
                </c:pt>
                <c:pt idx="16">
                  <c:v>1944</c:v>
                </c:pt>
                <c:pt idx="17">
                  <c:v>1945</c:v>
                </c:pt>
                <c:pt idx="18">
                  <c:v>1946</c:v>
                </c:pt>
                <c:pt idx="19">
                  <c:v>1947</c:v>
                </c:pt>
                <c:pt idx="20">
                  <c:v>1948</c:v>
                </c:pt>
                <c:pt idx="21">
                  <c:v>1949</c:v>
                </c:pt>
                <c:pt idx="22">
                  <c:v>1950</c:v>
                </c:pt>
                <c:pt idx="23">
                  <c:v>1951</c:v>
                </c:pt>
                <c:pt idx="24">
                  <c:v>1952</c:v>
                </c:pt>
                <c:pt idx="25">
                  <c:v>1953</c:v>
                </c:pt>
                <c:pt idx="26">
                  <c:v>1954</c:v>
                </c:pt>
                <c:pt idx="27">
                  <c:v>1955</c:v>
                </c:pt>
                <c:pt idx="28">
                  <c:v>1956</c:v>
                </c:pt>
                <c:pt idx="29">
                  <c:v>1957</c:v>
                </c:pt>
                <c:pt idx="30">
                  <c:v>1958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1979</c:v>
                </c:pt>
                <c:pt idx="52">
                  <c:v>1980</c:v>
                </c:pt>
                <c:pt idx="53">
                  <c:v>1981</c:v>
                </c:pt>
                <c:pt idx="54">
                  <c:v>1982</c:v>
                </c:pt>
                <c:pt idx="55">
                  <c:v>1983</c:v>
                </c:pt>
                <c:pt idx="56">
                  <c:v>1984</c:v>
                </c:pt>
                <c:pt idx="57">
                  <c:v>1985</c:v>
                </c:pt>
                <c:pt idx="58">
                  <c:v>1986</c:v>
                </c:pt>
                <c:pt idx="59">
                  <c:v>1987</c:v>
                </c:pt>
                <c:pt idx="60">
                  <c:v>1988</c:v>
                </c:pt>
                <c:pt idx="61">
                  <c:v>1989</c:v>
                </c:pt>
                <c:pt idx="62">
                  <c:v>1990</c:v>
                </c:pt>
                <c:pt idx="63">
                  <c:v>1991</c:v>
                </c:pt>
                <c:pt idx="64">
                  <c:v>1992</c:v>
                </c:pt>
                <c:pt idx="65">
                  <c:v>1993</c:v>
                </c:pt>
                <c:pt idx="66">
                  <c:v>1994</c:v>
                </c:pt>
                <c:pt idx="67">
                  <c:v>1995</c:v>
                </c:pt>
                <c:pt idx="68">
                  <c:v>1996</c:v>
                </c:pt>
                <c:pt idx="69">
                  <c:v>1997</c:v>
                </c:pt>
                <c:pt idx="70">
                  <c:v>1998</c:v>
                </c:pt>
                <c:pt idx="71">
                  <c:v>1999</c:v>
                </c:pt>
                <c:pt idx="72">
                  <c:v>2000</c:v>
                </c:pt>
                <c:pt idx="73">
                  <c:v>2001</c:v>
                </c:pt>
                <c:pt idx="74">
                  <c:v>2002</c:v>
                </c:pt>
                <c:pt idx="75">
                  <c:v>2003</c:v>
                </c:pt>
                <c:pt idx="76">
                  <c:v>2004</c:v>
                </c:pt>
                <c:pt idx="77">
                  <c:v>2005</c:v>
                </c:pt>
                <c:pt idx="78">
                  <c:v>2006</c:v>
                </c:pt>
                <c:pt idx="79">
                  <c:v>2007</c:v>
                </c:pt>
                <c:pt idx="80">
                  <c:v>2008</c:v>
                </c:pt>
                <c:pt idx="81">
                  <c:v>2009</c:v>
                </c:pt>
                <c:pt idx="82">
                  <c:v>2010</c:v>
                </c:pt>
                <c:pt idx="83">
                  <c:v>2011</c:v>
                </c:pt>
                <c:pt idx="84">
                  <c:v>2012</c:v>
                </c:pt>
                <c:pt idx="85">
                  <c:v>2013</c:v>
                </c:pt>
                <c:pt idx="86">
                  <c:v>2014</c:v>
                </c:pt>
                <c:pt idx="87">
                  <c:v>2015</c:v>
                </c:pt>
                <c:pt idx="88">
                  <c:v>2016</c:v>
                </c:pt>
                <c:pt idx="89">
                  <c:v>2017</c:v>
                </c:pt>
                <c:pt idx="90">
                  <c:v>2018</c:v>
                </c:pt>
                <c:pt idx="91">
                  <c:v>2019</c:v>
                </c:pt>
                <c:pt idx="92">
                  <c:v>2020</c:v>
                </c:pt>
                <c:pt idx="93">
                  <c:v>2021</c:v>
                </c:pt>
                <c:pt idx="94">
                  <c:v>2022</c:v>
                </c:pt>
                <c:pt idx="95">
                  <c:v>2023</c:v>
                </c:pt>
                <c:pt idx="96">
                  <c:v>2024</c:v>
                </c:pt>
                <c:pt idx="97">
                  <c:v>2025</c:v>
                </c:pt>
                <c:pt idx="98">
                  <c:v>2026</c:v>
                </c:pt>
              </c:numCache>
            </c:numRef>
          </c:cat>
          <c:val>
            <c:numRef>
              <c:f>Sheet1!$K$3:$K$101</c:f>
              <c:numCache>
                <c:formatCode>General</c:formatCode>
                <c:ptCount val="99"/>
                <c:pt idx="0">
                  <c:v>101.01010101010101</c:v>
                </c:pt>
                <c:pt idx="1">
                  <c:v>202.02020202020202</c:v>
                </c:pt>
                <c:pt idx="2">
                  <c:v>303.030303030303</c:v>
                </c:pt>
                <c:pt idx="3">
                  <c:v>404.04040404040404</c:v>
                </c:pt>
                <c:pt idx="4">
                  <c:v>505.05050505050508</c:v>
                </c:pt>
                <c:pt idx="5">
                  <c:v>606.06060606060612</c:v>
                </c:pt>
                <c:pt idx="6">
                  <c:v>707.07070707070716</c:v>
                </c:pt>
                <c:pt idx="7">
                  <c:v>808.0808080808082</c:v>
                </c:pt>
                <c:pt idx="8">
                  <c:v>909.09090909090924</c:v>
                </c:pt>
                <c:pt idx="9">
                  <c:v>1010.1010101010103</c:v>
                </c:pt>
                <c:pt idx="10">
                  <c:v>1111.1111111111113</c:v>
                </c:pt>
                <c:pt idx="11">
                  <c:v>1212.1212121212122</c:v>
                </c:pt>
                <c:pt idx="12">
                  <c:v>1313.1313131313132</c:v>
                </c:pt>
                <c:pt idx="13">
                  <c:v>1414.1414141414141</c:v>
                </c:pt>
                <c:pt idx="14">
                  <c:v>1515.151515151515</c:v>
                </c:pt>
                <c:pt idx="15">
                  <c:v>1616.1616161616159</c:v>
                </c:pt>
                <c:pt idx="16">
                  <c:v>1717.1717171717169</c:v>
                </c:pt>
                <c:pt idx="17">
                  <c:v>1818.1818181818178</c:v>
                </c:pt>
                <c:pt idx="18">
                  <c:v>1919.1919191919187</c:v>
                </c:pt>
                <c:pt idx="19">
                  <c:v>2020.2020202020196</c:v>
                </c:pt>
                <c:pt idx="20">
                  <c:v>2121.2121212121206</c:v>
                </c:pt>
                <c:pt idx="21">
                  <c:v>2222.2222222222217</c:v>
                </c:pt>
                <c:pt idx="22">
                  <c:v>2323.2323232323229</c:v>
                </c:pt>
                <c:pt idx="23">
                  <c:v>2424.242424242424</c:v>
                </c:pt>
                <c:pt idx="24">
                  <c:v>2525.2525252525252</c:v>
                </c:pt>
                <c:pt idx="25">
                  <c:v>2626.2626262626263</c:v>
                </c:pt>
                <c:pt idx="26">
                  <c:v>2727.2727272727275</c:v>
                </c:pt>
                <c:pt idx="27">
                  <c:v>2828.2828282828286</c:v>
                </c:pt>
                <c:pt idx="28">
                  <c:v>2929.2929292929298</c:v>
                </c:pt>
                <c:pt idx="29">
                  <c:v>3030.3030303030309</c:v>
                </c:pt>
                <c:pt idx="30">
                  <c:v>3131.3131313131321</c:v>
                </c:pt>
                <c:pt idx="31">
                  <c:v>3232.3232323232332</c:v>
                </c:pt>
                <c:pt idx="32">
                  <c:v>3333.3333333333344</c:v>
                </c:pt>
                <c:pt idx="33">
                  <c:v>3434.3434343434355</c:v>
                </c:pt>
                <c:pt idx="34">
                  <c:v>3535.3535353535367</c:v>
                </c:pt>
                <c:pt idx="35">
                  <c:v>3636.3636363636379</c:v>
                </c:pt>
                <c:pt idx="36">
                  <c:v>3737.373737373739</c:v>
                </c:pt>
                <c:pt idx="37">
                  <c:v>3838.3838383838402</c:v>
                </c:pt>
                <c:pt idx="38">
                  <c:v>3939.3939393939413</c:v>
                </c:pt>
                <c:pt idx="39">
                  <c:v>4040.4040404040425</c:v>
                </c:pt>
                <c:pt idx="40">
                  <c:v>4141.4141414141432</c:v>
                </c:pt>
                <c:pt idx="41">
                  <c:v>4242.4242424242439</c:v>
                </c:pt>
                <c:pt idx="42">
                  <c:v>4343.4343434343446</c:v>
                </c:pt>
                <c:pt idx="43">
                  <c:v>4444.4444444444453</c:v>
                </c:pt>
                <c:pt idx="44">
                  <c:v>4545.454545454546</c:v>
                </c:pt>
                <c:pt idx="45">
                  <c:v>4646.4646464646466</c:v>
                </c:pt>
                <c:pt idx="46">
                  <c:v>4747.4747474747473</c:v>
                </c:pt>
                <c:pt idx="47">
                  <c:v>4848.484848484848</c:v>
                </c:pt>
                <c:pt idx="48">
                  <c:v>4949.4949494949487</c:v>
                </c:pt>
                <c:pt idx="49">
                  <c:v>5050.5050505050494</c:v>
                </c:pt>
                <c:pt idx="50">
                  <c:v>5151.5151515151501</c:v>
                </c:pt>
                <c:pt idx="51">
                  <c:v>5252.5252525252508</c:v>
                </c:pt>
                <c:pt idx="52">
                  <c:v>5353.5353535353515</c:v>
                </c:pt>
                <c:pt idx="53">
                  <c:v>5454.5454545454522</c:v>
                </c:pt>
                <c:pt idx="54">
                  <c:v>5555.5555555555529</c:v>
                </c:pt>
                <c:pt idx="55">
                  <c:v>5656.5656565656536</c:v>
                </c:pt>
                <c:pt idx="56">
                  <c:v>5757.5757575757543</c:v>
                </c:pt>
                <c:pt idx="57">
                  <c:v>5858.585858585855</c:v>
                </c:pt>
                <c:pt idx="58">
                  <c:v>5959.5959595959557</c:v>
                </c:pt>
                <c:pt idx="59">
                  <c:v>6060.6060606060564</c:v>
                </c:pt>
                <c:pt idx="60">
                  <c:v>6161.6161616161571</c:v>
                </c:pt>
                <c:pt idx="61">
                  <c:v>6262.6262626262578</c:v>
                </c:pt>
                <c:pt idx="62">
                  <c:v>6363.6363636363585</c:v>
                </c:pt>
                <c:pt idx="63">
                  <c:v>6464.6464646464592</c:v>
                </c:pt>
                <c:pt idx="64">
                  <c:v>6565.6565656565599</c:v>
                </c:pt>
                <c:pt idx="65">
                  <c:v>6666.6666666666606</c:v>
                </c:pt>
                <c:pt idx="66">
                  <c:v>6767.6767676767613</c:v>
                </c:pt>
                <c:pt idx="67">
                  <c:v>6868.686868686862</c:v>
                </c:pt>
                <c:pt idx="68">
                  <c:v>6969.6969696969627</c:v>
                </c:pt>
                <c:pt idx="69">
                  <c:v>7070.7070707070634</c:v>
                </c:pt>
                <c:pt idx="70">
                  <c:v>7171.7171717171641</c:v>
                </c:pt>
                <c:pt idx="71">
                  <c:v>7272.7272727272648</c:v>
                </c:pt>
                <c:pt idx="72">
                  <c:v>7373.7373737373655</c:v>
                </c:pt>
                <c:pt idx="73">
                  <c:v>7474.7474747474662</c:v>
                </c:pt>
                <c:pt idx="74">
                  <c:v>7575.7575757575669</c:v>
                </c:pt>
                <c:pt idx="75">
                  <c:v>7676.7676767676676</c:v>
                </c:pt>
                <c:pt idx="76">
                  <c:v>7777.7777777777683</c:v>
                </c:pt>
                <c:pt idx="77">
                  <c:v>7878.787878787869</c:v>
                </c:pt>
                <c:pt idx="78">
                  <c:v>7979.7979797979697</c:v>
                </c:pt>
                <c:pt idx="79">
                  <c:v>8080.8080808080704</c:v>
                </c:pt>
                <c:pt idx="80">
                  <c:v>8181.8181818181711</c:v>
                </c:pt>
                <c:pt idx="81">
                  <c:v>8282.8282828282718</c:v>
                </c:pt>
                <c:pt idx="82">
                  <c:v>8383.8383838383725</c:v>
                </c:pt>
                <c:pt idx="83">
                  <c:v>8484.8484848484732</c:v>
                </c:pt>
                <c:pt idx="84">
                  <c:v>8585.8585858585739</c:v>
                </c:pt>
                <c:pt idx="85">
                  <c:v>8686.8686868686746</c:v>
                </c:pt>
                <c:pt idx="86">
                  <c:v>8787.8787878787753</c:v>
                </c:pt>
                <c:pt idx="87">
                  <c:v>8888.888888888876</c:v>
                </c:pt>
                <c:pt idx="88">
                  <c:v>8989.8989898989767</c:v>
                </c:pt>
                <c:pt idx="89">
                  <c:v>9090.9090909090773</c:v>
                </c:pt>
                <c:pt idx="90">
                  <c:v>9191.919191919178</c:v>
                </c:pt>
                <c:pt idx="91">
                  <c:v>9292.9292929292787</c:v>
                </c:pt>
                <c:pt idx="92">
                  <c:v>9393.9393939393794</c:v>
                </c:pt>
                <c:pt idx="93">
                  <c:v>9494.9494949494801</c:v>
                </c:pt>
                <c:pt idx="94">
                  <c:v>9595.9595959595808</c:v>
                </c:pt>
                <c:pt idx="95">
                  <c:v>9696.9696969696815</c:v>
                </c:pt>
                <c:pt idx="96">
                  <c:v>9797.9797979797822</c:v>
                </c:pt>
                <c:pt idx="97">
                  <c:v>9898.9898989898829</c:v>
                </c:pt>
                <c:pt idx="98">
                  <c:v>9999.9999999999836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0D-4FE7-AF9E-9B4FFE71D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817871"/>
        <c:axId val="1148834191"/>
      </c:lineChart>
      <c:catAx>
        <c:axId val="1148817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34191"/>
        <c:crosses val="autoZero"/>
        <c:auto val="1"/>
        <c:lblAlgn val="ctr"/>
        <c:lblOffset val="100"/>
        <c:noMultiLvlLbl val="0"/>
      </c:catAx>
      <c:valAx>
        <c:axId val="114883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1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Sheet1!$B$3:$B$101</c:f>
              <c:numCache>
                <c:formatCode>General</c:formatCode>
                <c:ptCount val="99"/>
                <c:pt idx="0">
                  <c:v>1928</c:v>
                </c:pt>
                <c:pt idx="1">
                  <c:v>1929</c:v>
                </c:pt>
                <c:pt idx="2">
                  <c:v>1930</c:v>
                </c:pt>
                <c:pt idx="3">
                  <c:v>1931</c:v>
                </c:pt>
                <c:pt idx="4">
                  <c:v>1932</c:v>
                </c:pt>
                <c:pt idx="5">
                  <c:v>1933</c:v>
                </c:pt>
                <c:pt idx="6">
                  <c:v>1934</c:v>
                </c:pt>
                <c:pt idx="7">
                  <c:v>1935</c:v>
                </c:pt>
                <c:pt idx="8">
                  <c:v>1936</c:v>
                </c:pt>
                <c:pt idx="9">
                  <c:v>1937</c:v>
                </c:pt>
                <c:pt idx="10">
                  <c:v>1938</c:v>
                </c:pt>
                <c:pt idx="11">
                  <c:v>1939</c:v>
                </c:pt>
                <c:pt idx="12">
                  <c:v>1940</c:v>
                </c:pt>
                <c:pt idx="13">
                  <c:v>1941</c:v>
                </c:pt>
                <c:pt idx="14">
                  <c:v>1942</c:v>
                </c:pt>
                <c:pt idx="15">
                  <c:v>1943</c:v>
                </c:pt>
                <c:pt idx="16">
                  <c:v>1944</c:v>
                </c:pt>
                <c:pt idx="17">
                  <c:v>1945</c:v>
                </c:pt>
                <c:pt idx="18">
                  <c:v>1946</c:v>
                </c:pt>
                <c:pt idx="19">
                  <c:v>1947</c:v>
                </c:pt>
                <c:pt idx="20">
                  <c:v>1948</c:v>
                </c:pt>
                <c:pt idx="21">
                  <c:v>1949</c:v>
                </c:pt>
                <c:pt idx="22">
                  <c:v>1950</c:v>
                </c:pt>
                <c:pt idx="23">
                  <c:v>1951</c:v>
                </c:pt>
                <c:pt idx="24">
                  <c:v>1952</c:v>
                </c:pt>
                <c:pt idx="25">
                  <c:v>1953</c:v>
                </c:pt>
                <c:pt idx="26">
                  <c:v>1954</c:v>
                </c:pt>
                <c:pt idx="27">
                  <c:v>1955</c:v>
                </c:pt>
                <c:pt idx="28">
                  <c:v>1956</c:v>
                </c:pt>
                <c:pt idx="29">
                  <c:v>1957</c:v>
                </c:pt>
                <c:pt idx="30">
                  <c:v>1958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1979</c:v>
                </c:pt>
                <c:pt idx="52">
                  <c:v>1980</c:v>
                </c:pt>
                <c:pt idx="53">
                  <c:v>1981</c:v>
                </c:pt>
                <c:pt idx="54">
                  <c:v>1982</c:v>
                </c:pt>
                <c:pt idx="55">
                  <c:v>1983</c:v>
                </c:pt>
                <c:pt idx="56">
                  <c:v>1984</c:v>
                </c:pt>
                <c:pt idx="57">
                  <c:v>1985</c:v>
                </c:pt>
                <c:pt idx="58">
                  <c:v>1986</c:v>
                </c:pt>
                <c:pt idx="59">
                  <c:v>1987</c:v>
                </c:pt>
                <c:pt idx="60">
                  <c:v>1988</c:v>
                </c:pt>
                <c:pt idx="61">
                  <c:v>1989</c:v>
                </c:pt>
                <c:pt idx="62">
                  <c:v>1990</c:v>
                </c:pt>
                <c:pt idx="63">
                  <c:v>1991</c:v>
                </c:pt>
                <c:pt idx="64">
                  <c:v>1992</c:v>
                </c:pt>
                <c:pt idx="65">
                  <c:v>1993</c:v>
                </c:pt>
                <c:pt idx="66">
                  <c:v>1994</c:v>
                </c:pt>
                <c:pt idx="67">
                  <c:v>1995</c:v>
                </c:pt>
                <c:pt idx="68">
                  <c:v>1996</c:v>
                </c:pt>
                <c:pt idx="69">
                  <c:v>1997</c:v>
                </c:pt>
                <c:pt idx="70">
                  <c:v>1998</c:v>
                </c:pt>
                <c:pt idx="71">
                  <c:v>1999</c:v>
                </c:pt>
                <c:pt idx="72">
                  <c:v>2000</c:v>
                </c:pt>
                <c:pt idx="73">
                  <c:v>2001</c:v>
                </c:pt>
                <c:pt idx="74">
                  <c:v>2002</c:v>
                </c:pt>
                <c:pt idx="75">
                  <c:v>2003</c:v>
                </c:pt>
                <c:pt idx="76">
                  <c:v>2004</c:v>
                </c:pt>
                <c:pt idx="77">
                  <c:v>2005</c:v>
                </c:pt>
                <c:pt idx="78">
                  <c:v>2006</c:v>
                </c:pt>
                <c:pt idx="79">
                  <c:v>2007</c:v>
                </c:pt>
                <c:pt idx="80">
                  <c:v>2008</c:v>
                </c:pt>
                <c:pt idx="81">
                  <c:v>2009</c:v>
                </c:pt>
                <c:pt idx="82">
                  <c:v>2010</c:v>
                </c:pt>
                <c:pt idx="83">
                  <c:v>2011</c:v>
                </c:pt>
                <c:pt idx="84">
                  <c:v>2012</c:v>
                </c:pt>
                <c:pt idx="85">
                  <c:v>2013</c:v>
                </c:pt>
                <c:pt idx="86">
                  <c:v>2014</c:v>
                </c:pt>
                <c:pt idx="87">
                  <c:v>2015</c:v>
                </c:pt>
                <c:pt idx="88">
                  <c:v>2016</c:v>
                </c:pt>
                <c:pt idx="89">
                  <c:v>2017</c:v>
                </c:pt>
                <c:pt idx="90">
                  <c:v>2018</c:v>
                </c:pt>
                <c:pt idx="91">
                  <c:v>2019</c:v>
                </c:pt>
                <c:pt idx="92">
                  <c:v>2020</c:v>
                </c:pt>
                <c:pt idx="93">
                  <c:v>2021</c:v>
                </c:pt>
                <c:pt idx="94">
                  <c:v>2022</c:v>
                </c:pt>
                <c:pt idx="95">
                  <c:v>2023</c:v>
                </c:pt>
                <c:pt idx="96">
                  <c:v>2024</c:v>
                </c:pt>
                <c:pt idx="97">
                  <c:v>2025</c:v>
                </c:pt>
                <c:pt idx="98">
                  <c:v>2026</c:v>
                </c:pt>
              </c:numCache>
            </c:numRef>
          </c:cat>
          <c:val>
            <c:numRef>
              <c:f>Sheet1!$M$1:$M$101</c:f>
              <c:numCache>
                <c:formatCode>General</c:formatCode>
                <c:ptCount val="101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E-4E12-BE05-49C6C1780B6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Sheet1!$B$3:$B$101</c:f>
              <c:numCache>
                <c:formatCode>General</c:formatCode>
                <c:ptCount val="99"/>
                <c:pt idx="0">
                  <c:v>1928</c:v>
                </c:pt>
                <c:pt idx="1">
                  <c:v>1929</c:v>
                </c:pt>
                <c:pt idx="2">
                  <c:v>1930</c:v>
                </c:pt>
                <c:pt idx="3">
                  <c:v>1931</c:v>
                </c:pt>
                <c:pt idx="4">
                  <c:v>1932</c:v>
                </c:pt>
                <c:pt idx="5">
                  <c:v>1933</c:v>
                </c:pt>
                <c:pt idx="6">
                  <c:v>1934</c:v>
                </c:pt>
                <c:pt idx="7">
                  <c:v>1935</c:v>
                </c:pt>
                <c:pt idx="8">
                  <c:v>1936</c:v>
                </c:pt>
                <c:pt idx="9">
                  <c:v>1937</c:v>
                </c:pt>
                <c:pt idx="10">
                  <c:v>1938</c:v>
                </c:pt>
                <c:pt idx="11">
                  <c:v>1939</c:v>
                </c:pt>
                <c:pt idx="12">
                  <c:v>1940</c:v>
                </c:pt>
                <c:pt idx="13">
                  <c:v>1941</c:v>
                </c:pt>
                <c:pt idx="14">
                  <c:v>1942</c:v>
                </c:pt>
                <c:pt idx="15">
                  <c:v>1943</c:v>
                </c:pt>
                <c:pt idx="16">
                  <c:v>1944</c:v>
                </c:pt>
                <c:pt idx="17">
                  <c:v>1945</c:v>
                </c:pt>
                <c:pt idx="18">
                  <c:v>1946</c:v>
                </c:pt>
                <c:pt idx="19">
                  <c:v>1947</c:v>
                </c:pt>
                <c:pt idx="20">
                  <c:v>1948</c:v>
                </c:pt>
                <c:pt idx="21">
                  <c:v>1949</c:v>
                </c:pt>
                <c:pt idx="22">
                  <c:v>1950</c:v>
                </c:pt>
                <c:pt idx="23">
                  <c:v>1951</c:v>
                </c:pt>
                <c:pt idx="24">
                  <c:v>1952</c:v>
                </c:pt>
                <c:pt idx="25">
                  <c:v>1953</c:v>
                </c:pt>
                <c:pt idx="26">
                  <c:v>1954</c:v>
                </c:pt>
                <c:pt idx="27">
                  <c:v>1955</c:v>
                </c:pt>
                <c:pt idx="28">
                  <c:v>1956</c:v>
                </c:pt>
                <c:pt idx="29">
                  <c:v>1957</c:v>
                </c:pt>
                <c:pt idx="30">
                  <c:v>1958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1979</c:v>
                </c:pt>
                <c:pt idx="52">
                  <c:v>1980</c:v>
                </c:pt>
                <c:pt idx="53">
                  <c:v>1981</c:v>
                </c:pt>
                <c:pt idx="54">
                  <c:v>1982</c:v>
                </c:pt>
                <c:pt idx="55">
                  <c:v>1983</c:v>
                </c:pt>
                <c:pt idx="56">
                  <c:v>1984</c:v>
                </c:pt>
                <c:pt idx="57">
                  <c:v>1985</c:v>
                </c:pt>
                <c:pt idx="58">
                  <c:v>1986</c:v>
                </c:pt>
                <c:pt idx="59">
                  <c:v>1987</c:v>
                </c:pt>
                <c:pt idx="60">
                  <c:v>1988</c:v>
                </c:pt>
                <c:pt idx="61">
                  <c:v>1989</c:v>
                </c:pt>
                <c:pt idx="62">
                  <c:v>1990</c:v>
                </c:pt>
                <c:pt idx="63">
                  <c:v>1991</c:v>
                </c:pt>
                <c:pt idx="64">
                  <c:v>1992</c:v>
                </c:pt>
                <c:pt idx="65">
                  <c:v>1993</c:v>
                </c:pt>
                <c:pt idx="66">
                  <c:v>1994</c:v>
                </c:pt>
                <c:pt idx="67">
                  <c:v>1995</c:v>
                </c:pt>
                <c:pt idx="68">
                  <c:v>1996</c:v>
                </c:pt>
                <c:pt idx="69">
                  <c:v>1997</c:v>
                </c:pt>
                <c:pt idx="70">
                  <c:v>1998</c:v>
                </c:pt>
                <c:pt idx="71">
                  <c:v>1999</c:v>
                </c:pt>
                <c:pt idx="72">
                  <c:v>2000</c:v>
                </c:pt>
                <c:pt idx="73">
                  <c:v>2001</c:v>
                </c:pt>
                <c:pt idx="74">
                  <c:v>2002</c:v>
                </c:pt>
                <c:pt idx="75">
                  <c:v>2003</c:v>
                </c:pt>
                <c:pt idx="76">
                  <c:v>2004</c:v>
                </c:pt>
                <c:pt idx="77">
                  <c:v>2005</c:v>
                </c:pt>
                <c:pt idx="78">
                  <c:v>2006</c:v>
                </c:pt>
                <c:pt idx="79">
                  <c:v>2007</c:v>
                </c:pt>
                <c:pt idx="80">
                  <c:v>2008</c:v>
                </c:pt>
                <c:pt idx="81">
                  <c:v>2009</c:v>
                </c:pt>
                <c:pt idx="82">
                  <c:v>2010</c:v>
                </c:pt>
                <c:pt idx="83">
                  <c:v>2011</c:v>
                </c:pt>
                <c:pt idx="84">
                  <c:v>2012</c:v>
                </c:pt>
                <c:pt idx="85">
                  <c:v>2013</c:v>
                </c:pt>
                <c:pt idx="86">
                  <c:v>2014</c:v>
                </c:pt>
                <c:pt idx="87">
                  <c:v>2015</c:v>
                </c:pt>
                <c:pt idx="88">
                  <c:v>2016</c:v>
                </c:pt>
                <c:pt idx="89">
                  <c:v>2017</c:v>
                </c:pt>
                <c:pt idx="90">
                  <c:v>2018</c:v>
                </c:pt>
                <c:pt idx="91">
                  <c:v>2019</c:v>
                </c:pt>
                <c:pt idx="92">
                  <c:v>2020</c:v>
                </c:pt>
                <c:pt idx="93">
                  <c:v>2021</c:v>
                </c:pt>
                <c:pt idx="94">
                  <c:v>2022</c:v>
                </c:pt>
                <c:pt idx="95">
                  <c:v>2023</c:v>
                </c:pt>
                <c:pt idx="96">
                  <c:v>2024</c:v>
                </c:pt>
                <c:pt idx="97">
                  <c:v>2025</c:v>
                </c:pt>
                <c:pt idx="98">
                  <c:v>2026</c:v>
                </c:pt>
              </c:numCache>
            </c:numRef>
          </c:cat>
          <c:val>
            <c:numRef>
              <c:f>Sheet1!$L$3:$L$101</c:f>
              <c:numCache>
                <c:formatCode>General</c:formatCode>
                <c:ptCount val="9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E-4E12-BE05-49C6C1780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485087"/>
        <c:axId val="1748469727"/>
      </c:barChart>
      <c:catAx>
        <c:axId val="174848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469727"/>
        <c:crosses val="autoZero"/>
        <c:auto val="1"/>
        <c:lblAlgn val="ctr"/>
        <c:lblOffset val="100"/>
        <c:noMultiLvlLbl val="0"/>
      </c:catAx>
      <c:valAx>
        <c:axId val="1748469727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174848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485774</xdr:colOff>
      <xdr:row>2</xdr:row>
      <xdr:rowOff>133350</xdr:rowOff>
    </xdr:from>
    <xdr:to>
      <xdr:col>23</xdr:col>
      <xdr:colOff>485774</xdr:colOff>
      <xdr:row>21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F7E124-9390-E92C-6DA7-2E78F249C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447675</xdr:colOff>
      <xdr:row>23</xdr:row>
      <xdr:rowOff>80961</xdr:rowOff>
    </xdr:from>
    <xdr:to>
      <xdr:col>23</xdr:col>
      <xdr:colOff>447675</xdr:colOff>
      <xdr:row>42</xdr:row>
      <xdr:rowOff>119061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F43D549-3174-260D-EB9A-195E01AA4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9496-254B-41CF-A879-4E6F2F5642B2}">
  <dimension ref="A1:M101"/>
  <sheetViews>
    <sheetView tabSelected="1" topLeftCell="F13" workbookViewId="0">
      <selection activeCell="Z18" sqref="Z18"/>
    </sheetView>
  </sheetViews>
  <sheetFormatPr defaultRowHeight="15" x14ac:dyDescent="0.25"/>
  <cols>
    <col min="1" max="2" width="12.7109375" customWidth="1"/>
    <col min="5" max="5" width="13.85546875" customWidth="1"/>
    <col min="9" max="9" width="14.42578125" customWidth="1"/>
    <col min="10" max="10" width="14" customWidth="1"/>
    <col min="12" max="12" width="22.28515625" customWidth="1"/>
    <col min="13" max="13" width="19" customWidth="1"/>
  </cols>
  <sheetData>
    <row r="1" spans="1:13" x14ac:dyDescent="0.25">
      <c r="A1" t="s">
        <v>1</v>
      </c>
      <c r="B1" t="s">
        <v>1</v>
      </c>
      <c r="C1" t="s">
        <v>2</v>
      </c>
      <c r="D1" t="s">
        <v>3</v>
      </c>
      <c r="E1" t="s">
        <v>5</v>
      </c>
      <c r="F1" t="s">
        <v>0</v>
      </c>
      <c r="G1" t="s">
        <v>6</v>
      </c>
      <c r="H1" t="s">
        <v>4</v>
      </c>
      <c r="I1" t="s">
        <v>7</v>
      </c>
      <c r="J1" t="s">
        <v>8</v>
      </c>
      <c r="K1" t="s">
        <v>9</v>
      </c>
      <c r="L1" t="s">
        <v>11</v>
      </c>
      <c r="M1" t="s">
        <v>10</v>
      </c>
    </row>
    <row r="2" spans="1:13" x14ac:dyDescent="0.25">
      <c r="A2" s="1">
        <v>10228</v>
      </c>
      <c r="B2" s="2">
        <v>1927</v>
      </c>
      <c r="C2">
        <v>0</v>
      </c>
      <c r="D2">
        <v>0</v>
      </c>
      <c r="E2">
        <f>D2+1</f>
        <v>1</v>
      </c>
      <c r="F2">
        <f>1000</f>
        <v>1000</v>
      </c>
      <c r="H2">
        <f>$G$3/99</f>
        <v>101.01010101010101</v>
      </c>
      <c r="I2">
        <v>10000</v>
      </c>
      <c r="J2">
        <v>101.01009999999999</v>
      </c>
      <c r="K2">
        <v>0</v>
      </c>
    </row>
    <row r="3" spans="1:13" x14ac:dyDescent="0.25">
      <c r="A3" s="1">
        <v>10593</v>
      </c>
      <c r="B3" s="2">
        <v>1928</v>
      </c>
      <c r="C3">
        <v>37.880000000000003</v>
      </c>
      <c r="D3">
        <f>C3/100</f>
        <v>0.37880000000000003</v>
      </c>
      <c r="E3">
        <f>D3+1</f>
        <v>1.3788</v>
      </c>
      <c r="F3">
        <f>1000</f>
        <v>1000</v>
      </c>
      <c r="G3">
        <v>10000</v>
      </c>
      <c r="H3">
        <f>$G$3/99</f>
        <v>101.01010101010101</v>
      </c>
      <c r="I3">
        <f>G3*E3</f>
        <v>13788</v>
      </c>
      <c r="J3">
        <f>H3*E3</f>
        <v>139.27272727272728</v>
      </c>
      <c r="K3">
        <f>K2+H3</f>
        <v>101.01010101010101</v>
      </c>
      <c r="L3">
        <v>0</v>
      </c>
      <c r="M3">
        <f>IF(J3&lt;K3,1,0)</f>
        <v>0</v>
      </c>
    </row>
    <row r="4" spans="1:13" x14ac:dyDescent="0.25">
      <c r="A4" s="1">
        <v>10958</v>
      </c>
      <c r="B4" s="2">
        <v>1929</v>
      </c>
      <c r="C4">
        <v>-11.91</v>
      </c>
      <c r="D4">
        <f t="shared" ref="D4:D67" si="0">C4/100</f>
        <v>-0.1191</v>
      </c>
      <c r="E4">
        <f t="shared" ref="E4:E67" si="1">D4+1</f>
        <v>0.88090000000000002</v>
      </c>
      <c r="F4">
        <f>F3*E3</f>
        <v>1378.8</v>
      </c>
      <c r="G4">
        <v>0</v>
      </c>
      <c r="H4">
        <f t="shared" ref="H4:H67" si="2">$G$3/99</f>
        <v>101.01010101010101</v>
      </c>
      <c r="I4">
        <f>I3*E4</f>
        <v>12145.849200000001</v>
      </c>
      <c r="J4">
        <f>J3*E4+H4*PRODUCT(E4)</f>
        <v>211.66514343434346</v>
      </c>
      <c r="K4">
        <f>K3+H4</f>
        <v>202.02020202020202</v>
      </c>
      <c r="L4">
        <f>IF(I4&lt;MAX($I$3:I4),1,0)</f>
        <v>1</v>
      </c>
      <c r="M4">
        <f>IF(J4&lt;MAX($J$3:J4),1,0)</f>
        <v>0</v>
      </c>
    </row>
    <row r="5" spans="1:13" x14ac:dyDescent="0.25">
      <c r="A5" s="1">
        <v>11323</v>
      </c>
      <c r="B5" s="2">
        <v>1930</v>
      </c>
      <c r="C5">
        <v>-28.48</v>
      </c>
      <c r="D5">
        <f t="shared" si="0"/>
        <v>-0.2848</v>
      </c>
      <c r="E5">
        <f t="shared" si="1"/>
        <v>0.71520000000000006</v>
      </c>
      <c r="F5">
        <f t="shared" ref="F5:F68" si="3">F4*E4</f>
        <v>1214.58492</v>
      </c>
      <c r="G5">
        <v>0</v>
      </c>
      <c r="H5">
        <f t="shared" si="2"/>
        <v>101.01010101010101</v>
      </c>
      <c r="I5">
        <f>I4*E5</f>
        <v>8686.7113478400006</v>
      </c>
      <c r="J5">
        <f>J4*E5+H5*PRODUCT(E5)</f>
        <v>223.62533482666672</v>
      </c>
      <c r="K5">
        <f>K4+H5</f>
        <v>303.030303030303</v>
      </c>
      <c r="L5">
        <f>IF(I5&lt;MAX($I$3:I5),1,0)</f>
        <v>1</v>
      </c>
      <c r="M5">
        <f>IF(J5&lt;MAX($J$3:J5),1,0)</f>
        <v>0</v>
      </c>
    </row>
    <row r="6" spans="1:13" x14ac:dyDescent="0.25">
      <c r="A6" s="1">
        <v>11688</v>
      </c>
      <c r="B6" s="2">
        <v>1931</v>
      </c>
      <c r="C6">
        <v>-47.07</v>
      </c>
      <c r="D6">
        <f t="shared" si="0"/>
        <v>-0.47070000000000001</v>
      </c>
      <c r="E6">
        <f t="shared" si="1"/>
        <v>0.52929999999999999</v>
      </c>
      <c r="F6">
        <f t="shared" si="3"/>
        <v>868.67113478400006</v>
      </c>
      <c r="G6">
        <v>0</v>
      </c>
      <c r="H6">
        <f t="shared" si="2"/>
        <v>101.01010101010101</v>
      </c>
      <c r="I6">
        <f t="shared" ref="I6:I68" si="4">I5*E6</f>
        <v>4597.8763164117127</v>
      </c>
      <c r="J6">
        <f>J5*E6+H6*PRODUCT(E6)</f>
        <v>171.82953618840116</v>
      </c>
      <c r="K6">
        <f t="shared" ref="K6:K28" si="5">K5+H6</f>
        <v>404.04040404040404</v>
      </c>
      <c r="L6">
        <f>IF(I6&lt;MAX($I$3:I6),1,0)</f>
        <v>1</v>
      </c>
      <c r="M6">
        <f>IF(J6&lt;MAX($J$3:J6),1,0)</f>
        <v>1</v>
      </c>
    </row>
    <row r="7" spans="1:13" x14ac:dyDescent="0.25">
      <c r="A7" s="1">
        <v>12054</v>
      </c>
      <c r="B7" s="2">
        <v>1932</v>
      </c>
      <c r="C7">
        <v>-15.15</v>
      </c>
      <c r="D7">
        <f t="shared" si="0"/>
        <v>-0.1515</v>
      </c>
      <c r="E7">
        <f t="shared" si="1"/>
        <v>0.84850000000000003</v>
      </c>
      <c r="F7">
        <f t="shared" si="3"/>
        <v>459.78763164117123</v>
      </c>
      <c r="G7">
        <v>0</v>
      </c>
      <c r="H7">
        <f t="shared" si="2"/>
        <v>101.01010101010101</v>
      </c>
      <c r="I7">
        <f t="shared" si="4"/>
        <v>3901.2980544753382</v>
      </c>
      <c r="J7">
        <f>J6*E7+H7*PRODUCT(E7)</f>
        <v>231.50443216292911</v>
      </c>
      <c r="K7">
        <f t="shared" si="5"/>
        <v>505.05050505050508</v>
      </c>
      <c r="L7">
        <f>IF(I7&lt;MAX($I$3:I7),1,0)</f>
        <v>1</v>
      </c>
      <c r="M7">
        <f>IF(J7&lt;MAX($J$3:J7),1,0)</f>
        <v>0</v>
      </c>
    </row>
    <row r="8" spans="1:13" x14ac:dyDescent="0.25">
      <c r="A8" s="1">
        <v>12419</v>
      </c>
      <c r="B8" s="2">
        <v>1933</v>
      </c>
      <c r="C8">
        <v>46.59</v>
      </c>
      <c r="D8">
        <f t="shared" si="0"/>
        <v>0.46590000000000004</v>
      </c>
      <c r="E8">
        <f t="shared" si="1"/>
        <v>1.4659</v>
      </c>
      <c r="F8">
        <f t="shared" si="3"/>
        <v>390.12980544753378</v>
      </c>
      <c r="G8">
        <v>0</v>
      </c>
      <c r="H8">
        <f t="shared" si="2"/>
        <v>101.01010101010101</v>
      </c>
      <c r="I8">
        <f t="shared" si="4"/>
        <v>5718.912818055398</v>
      </c>
      <c r="J8">
        <f>J7*E8+H8*PRODUCT(E8)</f>
        <v>487.43305417834483</v>
      </c>
      <c r="K8">
        <f t="shared" si="5"/>
        <v>606.06060606060612</v>
      </c>
      <c r="L8">
        <f>IF(I8&lt;MAX($I$3:I8),1,0)</f>
        <v>1</v>
      </c>
      <c r="M8">
        <f>IF(J8&lt;MAX($J$3:J8),1,0)</f>
        <v>0</v>
      </c>
    </row>
    <row r="9" spans="1:13" x14ac:dyDescent="0.25">
      <c r="A9" s="1">
        <v>12784</v>
      </c>
      <c r="B9" s="2">
        <v>1934</v>
      </c>
      <c r="C9">
        <v>-5.94</v>
      </c>
      <c r="D9">
        <f t="shared" si="0"/>
        <v>-5.9400000000000001E-2</v>
      </c>
      <c r="E9">
        <f t="shared" si="1"/>
        <v>0.94059999999999999</v>
      </c>
      <c r="F9">
        <f t="shared" si="3"/>
        <v>571.89128180553973</v>
      </c>
      <c r="G9">
        <v>0</v>
      </c>
      <c r="H9">
        <f t="shared" si="2"/>
        <v>101.01010101010101</v>
      </c>
      <c r="I9">
        <f t="shared" si="4"/>
        <v>5379.2093966629072</v>
      </c>
      <c r="J9">
        <f t="shared" ref="J5:J28" si="6">J8*E9+H9*PRODUCT(E9)</f>
        <v>553.48963177025212</v>
      </c>
      <c r="K9">
        <f t="shared" si="5"/>
        <v>707.07070707070716</v>
      </c>
      <c r="L9">
        <f>IF(I9&lt;MAX($I$3:I9),1,0)</f>
        <v>1</v>
      </c>
      <c r="M9">
        <f>IF(J9&lt;MAX($J$3:J9),1,0)</f>
        <v>0</v>
      </c>
    </row>
    <row r="10" spans="1:13" x14ac:dyDescent="0.25">
      <c r="A10" s="1">
        <v>13149</v>
      </c>
      <c r="B10" s="2">
        <v>1935</v>
      </c>
      <c r="C10">
        <v>41.37</v>
      </c>
      <c r="D10">
        <f t="shared" si="0"/>
        <v>0.41369999999999996</v>
      </c>
      <c r="E10">
        <f t="shared" si="1"/>
        <v>1.4137</v>
      </c>
      <c r="F10">
        <f t="shared" si="3"/>
        <v>537.92093966629068</v>
      </c>
      <c r="G10">
        <v>0</v>
      </c>
      <c r="H10">
        <f t="shared" si="2"/>
        <v>101.01010101010101</v>
      </c>
      <c r="I10">
        <f t="shared" si="4"/>
        <v>7604.5883240623516</v>
      </c>
      <c r="J10">
        <f t="shared" si="6"/>
        <v>925.26627223158516</v>
      </c>
      <c r="K10">
        <f t="shared" si="5"/>
        <v>808.0808080808082</v>
      </c>
      <c r="L10">
        <f>IF(I10&lt;MAX($I$3:I10),1,0)</f>
        <v>1</v>
      </c>
      <c r="M10">
        <f>IF(J10&lt;MAX($J$3:J10),1,0)</f>
        <v>0</v>
      </c>
    </row>
    <row r="11" spans="1:13" x14ac:dyDescent="0.25">
      <c r="A11" s="1">
        <v>13515</v>
      </c>
      <c r="B11" s="2">
        <v>1936</v>
      </c>
      <c r="C11">
        <v>27.92</v>
      </c>
      <c r="D11">
        <f t="shared" si="0"/>
        <v>0.2792</v>
      </c>
      <c r="E11">
        <f t="shared" si="1"/>
        <v>1.2791999999999999</v>
      </c>
      <c r="F11">
        <f t="shared" si="3"/>
        <v>760.45883240623516</v>
      </c>
      <c r="G11">
        <v>0</v>
      </c>
      <c r="H11">
        <f t="shared" si="2"/>
        <v>101.01010101010101</v>
      </c>
      <c r="I11">
        <f t="shared" si="4"/>
        <v>9727.7893841405585</v>
      </c>
      <c r="J11">
        <f t="shared" si="6"/>
        <v>1312.8127366507649</v>
      </c>
      <c r="K11">
        <f t="shared" si="5"/>
        <v>909.09090909090924</v>
      </c>
      <c r="L11">
        <f>IF(I11&lt;MAX($I$3:I11),1,0)</f>
        <v>1</v>
      </c>
      <c r="M11">
        <f>IF(J11&lt;MAX($J$3:J11),1,0)</f>
        <v>0</v>
      </c>
    </row>
    <row r="12" spans="1:13" x14ac:dyDescent="0.25">
      <c r="A12" s="1">
        <v>13880</v>
      </c>
      <c r="B12" s="2">
        <v>1937</v>
      </c>
      <c r="C12">
        <v>-38.590000000000003</v>
      </c>
      <c r="D12">
        <f t="shared" si="0"/>
        <v>-0.38590000000000002</v>
      </c>
      <c r="E12">
        <f t="shared" si="1"/>
        <v>0.61409999999999998</v>
      </c>
      <c r="F12">
        <f t="shared" si="3"/>
        <v>972.77893841405592</v>
      </c>
      <c r="G12">
        <v>0</v>
      </c>
      <c r="H12">
        <f t="shared" si="2"/>
        <v>101.01010101010101</v>
      </c>
      <c r="I12">
        <f t="shared" si="4"/>
        <v>5973.8354608007166</v>
      </c>
      <c r="J12">
        <f t="shared" si="6"/>
        <v>868.2286046075377</v>
      </c>
      <c r="K12">
        <f t="shared" si="5"/>
        <v>1010.1010101010103</v>
      </c>
      <c r="L12">
        <f>IF(I12&lt;MAX($I$3:I12),1,0)</f>
        <v>1</v>
      </c>
      <c r="M12">
        <f>IF(J12&lt;MAX($J$3:J12),1,0)</f>
        <v>1</v>
      </c>
    </row>
    <row r="13" spans="1:13" x14ac:dyDescent="0.25">
      <c r="A13" s="1">
        <v>14245</v>
      </c>
      <c r="B13" s="2">
        <v>1938</v>
      </c>
      <c r="C13">
        <v>25.21</v>
      </c>
      <c r="D13">
        <f t="shared" si="0"/>
        <v>0.25209999999999999</v>
      </c>
      <c r="E13">
        <f t="shared" si="1"/>
        <v>1.2521</v>
      </c>
      <c r="F13">
        <f t="shared" si="3"/>
        <v>597.38354608007171</v>
      </c>
      <c r="G13">
        <v>0</v>
      </c>
      <c r="H13">
        <f t="shared" si="2"/>
        <v>101.01010101010101</v>
      </c>
      <c r="I13">
        <f t="shared" si="4"/>
        <v>7479.8393804685775</v>
      </c>
      <c r="J13">
        <f t="shared" si="6"/>
        <v>1213.5837833038456</v>
      </c>
      <c r="K13">
        <f t="shared" si="5"/>
        <v>1111.1111111111113</v>
      </c>
      <c r="L13">
        <f>IF(I13&lt;MAX($I$3:I13),1,0)</f>
        <v>1</v>
      </c>
      <c r="M13">
        <f>IF(J13&lt;MAX($J$3:J13),1,0)</f>
        <v>1</v>
      </c>
    </row>
    <row r="14" spans="1:13" x14ac:dyDescent="0.25">
      <c r="A14" s="1">
        <v>14610</v>
      </c>
      <c r="B14" s="2">
        <v>1939</v>
      </c>
      <c r="C14">
        <v>-5.45</v>
      </c>
      <c r="D14">
        <f t="shared" si="0"/>
        <v>-5.45E-2</v>
      </c>
      <c r="E14">
        <f t="shared" si="1"/>
        <v>0.94550000000000001</v>
      </c>
      <c r="F14">
        <f t="shared" si="3"/>
        <v>747.98393804685782</v>
      </c>
      <c r="G14">
        <v>0</v>
      </c>
      <c r="H14">
        <f t="shared" si="2"/>
        <v>101.01010101010101</v>
      </c>
      <c r="I14">
        <f t="shared" si="4"/>
        <v>7072.1881342330398</v>
      </c>
      <c r="J14">
        <f t="shared" si="6"/>
        <v>1242.9485176188366</v>
      </c>
      <c r="K14">
        <f t="shared" si="5"/>
        <v>1212.1212121212122</v>
      </c>
      <c r="L14">
        <f>IF(I14&lt;MAX($I$3:I14),1,0)</f>
        <v>1</v>
      </c>
      <c r="M14">
        <f>IF(J14&lt;MAX($J$3:J14),1,0)</f>
        <v>1</v>
      </c>
    </row>
    <row r="15" spans="1:13" x14ac:dyDescent="0.25">
      <c r="A15" s="1">
        <v>14976</v>
      </c>
      <c r="B15" s="2">
        <v>1940</v>
      </c>
      <c r="C15">
        <v>-15.29</v>
      </c>
      <c r="D15">
        <f t="shared" si="0"/>
        <v>-0.15289999999999998</v>
      </c>
      <c r="E15">
        <f t="shared" si="1"/>
        <v>0.84709999999999996</v>
      </c>
      <c r="F15">
        <f t="shared" si="3"/>
        <v>707.21881342330403</v>
      </c>
      <c r="G15">
        <v>0</v>
      </c>
      <c r="H15">
        <f t="shared" si="2"/>
        <v>101.01010101010101</v>
      </c>
      <c r="I15">
        <f t="shared" si="4"/>
        <v>5990.8505685088076</v>
      </c>
      <c r="J15">
        <f t="shared" si="6"/>
        <v>1138.467345840573</v>
      </c>
      <c r="K15">
        <f t="shared" si="5"/>
        <v>1313.1313131313132</v>
      </c>
      <c r="L15">
        <f>IF(I15&lt;MAX($I$3:I15),1,0)</f>
        <v>1</v>
      </c>
      <c r="M15">
        <f>IF(J15&lt;MAX($J$3:J15),1,0)</f>
        <v>1</v>
      </c>
    </row>
    <row r="16" spans="1:13" x14ac:dyDescent="0.25">
      <c r="A16" s="1">
        <v>15341</v>
      </c>
      <c r="B16" s="2">
        <v>1941</v>
      </c>
      <c r="C16">
        <v>-17.86</v>
      </c>
      <c r="D16">
        <f t="shared" si="0"/>
        <v>-0.17859999999999998</v>
      </c>
      <c r="E16">
        <f t="shared" si="1"/>
        <v>0.82140000000000002</v>
      </c>
      <c r="F16">
        <f t="shared" si="3"/>
        <v>599.08505685088085</v>
      </c>
      <c r="G16">
        <v>0</v>
      </c>
      <c r="H16">
        <f t="shared" si="2"/>
        <v>101.01010101010101</v>
      </c>
      <c r="I16">
        <f t="shared" si="4"/>
        <v>4920.884656973135</v>
      </c>
      <c r="J16">
        <f t="shared" si="6"/>
        <v>1018.1067748431436</v>
      </c>
      <c r="K16">
        <f t="shared" si="5"/>
        <v>1414.1414141414141</v>
      </c>
      <c r="L16">
        <f>IF(I16&lt;MAX($I$3:I16),1,0)</f>
        <v>1</v>
      </c>
      <c r="M16">
        <f>IF(J16&lt;MAX($J$3:J16),1,0)</f>
        <v>1</v>
      </c>
    </row>
    <row r="17" spans="1:13" x14ac:dyDescent="0.25">
      <c r="A17" s="1">
        <v>15706</v>
      </c>
      <c r="B17" s="2">
        <v>1942</v>
      </c>
      <c r="C17">
        <v>12.43</v>
      </c>
      <c r="D17">
        <f t="shared" si="0"/>
        <v>0.12429999999999999</v>
      </c>
      <c r="E17">
        <f t="shared" si="1"/>
        <v>1.1243000000000001</v>
      </c>
      <c r="F17">
        <f t="shared" si="3"/>
        <v>492.08846569731355</v>
      </c>
      <c r="G17">
        <v>0</v>
      </c>
      <c r="H17">
        <f t="shared" si="2"/>
        <v>101.01010101010101</v>
      </c>
      <c r="I17">
        <f t="shared" si="4"/>
        <v>5532.5506198348958</v>
      </c>
      <c r="J17">
        <f t="shared" si="6"/>
        <v>1258.2231035218031</v>
      </c>
      <c r="K17">
        <f t="shared" si="5"/>
        <v>1515.151515151515</v>
      </c>
      <c r="L17">
        <f>IF(I17&lt;MAX($I$3:I17),1,0)</f>
        <v>1</v>
      </c>
      <c r="M17">
        <f>IF(J17&lt;MAX($J$3:J17),1,0)</f>
        <v>1</v>
      </c>
    </row>
    <row r="18" spans="1:13" x14ac:dyDescent="0.25">
      <c r="A18" s="1">
        <v>16071</v>
      </c>
      <c r="B18" s="2">
        <v>1943</v>
      </c>
      <c r="C18">
        <v>19.45</v>
      </c>
      <c r="D18">
        <f t="shared" si="0"/>
        <v>0.19450000000000001</v>
      </c>
      <c r="E18">
        <f t="shared" si="1"/>
        <v>1.1945000000000001</v>
      </c>
      <c r="F18">
        <f t="shared" si="3"/>
        <v>553.25506198348967</v>
      </c>
      <c r="G18">
        <v>0</v>
      </c>
      <c r="H18">
        <f t="shared" si="2"/>
        <v>101.01010101010101</v>
      </c>
      <c r="I18">
        <f t="shared" si="4"/>
        <v>6608.6317153927839</v>
      </c>
      <c r="J18">
        <f t="shared" si="6"/>
        <v>1623.6040628133594</v>
      </c>
      <c r="K18">
        <f t="shared" si="5"/>
        <v>1616.1616161616159</v>
      </c>
      <c r="L18">
        <f>IF(I18&lt;MAX($I$3:I18),1,0)</f>
        <v>1</v>
      </c>
      <c r="M18">
        <f>IF(J18&lt;MAX($J$3:J18),1,0)</f>
        <v>0</v>
      </c>
    </row>
    <row r="19" spans="1:13" x14ac:dyDescent="0.25">
      <c r="A19" s="1">
        <v>16437</v>
      </c>
      <c r="B19" s="2">
        <v>1944</v>
      </c>
      <c r="C19">
        <v>13.8</v>
      </c>
      <c r="D19">
        <f t="shared" si="0"/>
        <v>0.13800000000000001</v>
      </c>
      <c r="E19">
        <f t="shared" si="1"/>
        <v>1.1379999999999999</v>
      </c>
      <c r="F19">
        <f t="shared" si="3"/>
        <v>660.86317153927848</v>
      </c>
      <c r="G19">
        <v>0</v>
      </c>
      <c r="H19">
        <f t="shared" si="2"/>
        <v>101.01010101010101</v>
      </c>
      <c r="I19">
        <f t="shared" si="4"/>
        <v>7520.6228921169877</v>
      </c>
      <c r="J19">
        <f t="shared" si="6"/>
        <v>1962.6109184310978</v>
      </c>
      <c r="K19">
        <f t="shared" si="5"/>
        <v>1717.1717171717169</v>
      </c>
      <c r="L19">
        <f>IF(I19&lt;MAX($I$3:I19),1,0)</f>
        <v>1</v>
      </c>
      <c r="M19">
        <f>IF(J19&lt;MAX($J$3:J19),1,0)</f>
        <v>0</v>
      </c>
    </row>
    <row r="20" spans="1:13" x14ac:dyDescent="0.25">
      <c r="A20" s="1">
        <v>16802</v>
      </c>
      <c r="B20" s="2">
        <v>1945</v>
      </c>
      <c r="C20">
        <v>30.72</v>
      </c>
      <c r="D20">
        <f t="shared" si="0"/>
        <v>0.30719999999999997</v>
      </c>
      <c r="E20">
        <f t="shared" si="1"/>
        <v>1.3071999999999999</v>
      </c>
      <c r="F20">
        <f t="shared" si="3"/>
        <v>752.06228921169884</v>
      </c>
      <c r="G20">
        <v>0</v>
      </c>
      <c r="H20">
        <f t="shared" si="2"/>
        <v>101.01010101010101</v>
      </c>
      <c r="I20">
        <f t="shared" si="4"/>
        <v>9830.9582445753258</v>
      </c>
      <c r="J20">
        <f t="shared" si="6"/>
        <v>2697.5653966135351</v>
      </c>
      <c r="K20">
        <f t="shared" si="5"/>
        <v>1818.1818181818178</v>
      </c>
      <c r="L20">
        <f>IF(I20&lt;MAX($I$3:I20),1,0)</f>
        <v>1</v>
      </c>
      <c r="M20">
        <f>IF(J20&lt;MAX($J$3:J20),1,0)</f>
        <v>0</v>
      </c>
    </row>
    <row r="21" spans="1:13" x14ac:dyDescent="0.25">
      <c r="A21" s="1">
        <v>17167</v>
      </c>
      <c r="B21" s="2">
        <v>1946</v>
      </c>
      <c r="C21">
        <v>-11.87</v>
      </c>
      <c r="D21">
        <f t="shared" si="0"/>
        <v>-0.11869999999999999</v>
      </c>
      <c r="E21">
        <f t="shared" si="1"/>
        <v>0.88129999999999997</v>
      </c>
      <c r="F21">
        <f t="shared" si="3"/>
        <v>983.09582445753267</v>
      </c>
      <c r="G21">
        <v>0</v>
      </c>
      <c r="H21">
        <f t="shared" si="2"/>
        <v>101.01010101010101</v>
      </c>
      <c r="I21">
        <f t="shared" si="4"/>
        <v>8664.0235009442349</v>
      </c>
      <c r="J21">
        <f t="shared" si="6"/>
        <v>2466.3845860557103</v>
      </c>
      <c r="K21">
        <f t="shared" si="5"/>
        <v>1919.1919191919187</v>
      </c>
      <c r="L21">
        <f>IF(I21&lt;MAX($I$3:I21),1,0)</f>
        <v>1</v>
      </c>
      <c r="M21">
        <f>IF(J21&lt;MAX($J$3:J21),1,0)</f>
        <v>1</v>
      </c>
    </row>
    <row r="22" spans="1:13" x14ac:dyDescent="0.25">
      <c r="A22" s="1">
        <v>17532</v>
      </c>
      <c r="B22" s="2">
        <v>1947</v>
      </c>
      <c r="C22">
        <v>0</v>
      </c>
      <c r="D22">
        <f t="shared" si="0"/>
        <v>0</v>
      </c>
      <c r="E22">
        <f t="shared" si="1"/>
        <v>1</v>
      </c>
      <c r="F22">
        <f t="shared" si="3"/>
        <v>866.40235009442347</v>
      </c>
      <c r="G22">
        <v>0</v>
      </c>
      <c r="H22">
        <f t="shared" si="2"/>
        <v>101.01010101010101</v>
      </c>
      <c r="I22">
        <f t="shared" si="4"/>
        <v>8664.0235009442349</v>
      </c>
      <c r="J22">
        <f t="shared" si="6"/>
        <v>2567.3946870658115</v>
      </c>
      <c r="K22">
        <f t="shared" si="5"/>
        <v>2020.2020202020196</v>
      </c>
      <c r="L22">
        <f>IF(I22&lt;MAX($I$3:I22),1,0)</f>
        <v>1</v>
      </c>
      <c r="M22">
        <f>IF(J22&lt;MAX($J$3:J22),1,0)</f>
        <v>1</v>
      </c>
    </row>
    <row r="23" spans="1:13" x14ac:dyDescent="0.25">
      <c r="A23" s="1">
        <v>17898</v>
      </c>
      <c r="B23" s="2">
        <v>1948</v>
      </c>
      <c r="C23">
        <v>-0.65</v>
      </c>
      <c r="D23">
        <f t="shared" si="0"/>
        <v>-6.5000000000000006E-3</v>
      </c>
      <c r="E23">
        <f t="shared" si="1"/>
        <v>0.99350000000000005</v>
      </c>
      <c r="F23">
        <f t="shared" si="3"/>
        <v>866.40235009442347</v>
      </c>
      <c r="G23">
        <v>0</v>
      </c>
      <c r="H23">
        <f t="shared" si="2"/>
        <v>101.01010101010101</v>
      </c>
      <c r="I23">
        <f t="shared" si="4"/>
        <v>8607.707348188098</v>
      </c>
      <c r="J23">
        <f t="shared" si="6"/>
        <v>2651.0601569534192</v>
      </c>
      <c r="K23">
        <f t="shared" si="5"/>
        <v>2121.2121212121206</v>
      </c>
      <c r="L23">
        <f>IF(I23&lt;MAX($I$3:I23),1,0)</f>
        <v>1</v>
      </c>
      <c r="M23">
        <f>IF(J23&lt;MAX($J$3:J23),1,0)</f>
        <v>1</v>
      </c>
    </row>
    <row r="24" spans="1:13" x14ac:dyDescent="0.25">
      <c r="A24" s="1">
        <v>18263</v>
      </c>
      <c r="B24" s="2">
        <v>1949</v>
      </c>
      <c r="C24">
        <v>10.26</v>
      </c>
      <c r="D24">
        <f t="shared" si="0"/>
        <v>0.1026</v>
      </c>
      <c r="E24">
        <f t="shared" si="1"/>
        <v>1.1026</v>
      </c>
      <c r="F24">
        <f t="shared" si="3"/>
        <v>860.77073481880973</v>
      </c>
      <c r="G24">
        <v>0</v>
      </c>
      <c r="H24">
        <f t="shared" si="2"/>
        <v>101.01010101010101</v>
      </c>
      <c r="I24">
        <f t="shared" si="4"/>
        <v>9490.8581221121967</v>
      </c>
      <c r="J24">
        <f t="shared" si="6"/>
        <v>3034.4326664305772</v>
      </c>
      <c r="K24">
        <f t="shared" si="5"/>
        <v>2222.2222222222217</v>
      </c>
      <c r="L24">
        <f>IF(I24&lt;MAX($I$3:I24),1,0)</f>
        <v>1</v>
      </c>
      <c r="M24">
        <f>IF(J24&lt;MAX($J$3:J24),1,0)</f>
        <v>0</v>
      </c>
    </row>
    <row r="25" spans="1:13" x14ac:dyDescent="0.25">
      <c r="A25" s="1">
        <v>18628</v>
      </c>
      <c r="B25" s="2">
        <v>1950</v>
      </c>
      <c r="C25">
        <v>21.78</v>
      </c>
      <c r="D25">
        <f t="shared" si="0"/>
        <v>0.21780000000000002</v>
      </c>
      <c r="E25">
        <f t="shared" si="1"/>
        <v>1.2178</v>
      </c>
      <c r="F25">
        <f t="shared" si="3"/>
        <v>949.0858122112196</v>
      </c>
      <c r="G25">
        <v>0</v>
      </c>
      <c r="H25">
        <f t="shared" si="2"/>
        <v>101.01010101010101</v>
      </c>
      <c r="I25">
        <f t="shared" si="4"/>
        <v>11557.967021108234</v>
      </c>
      <c r="J25">
        <f t="shared" si="6"/>
        <v>3818.3422021892579</v>
      </c>
      <c r="K25">
        <f t="shared" si="5"/>
        <v>2323.2323232323229</v>
      </c>
      <c r="L25">
        <f>IF(I25&lt;MAX($I$3:I25),1,0)</f>
        <v>1</v>
      </c>
      <c r="M25">
        <f>IF(J25&lt;MAX($J$3:J25),1,0)</f>
        <v>0</v>
      </c>
    </row>
    <row r="26" spans="1:13" x14ac:dyDescent="0.25">
      <c r="A26" s="1">
        <v>18993</v>
      </c>
      <c r="B26" s="2">
        <v>1951</v>
      </c>
      <c r="C26">
        <v>16.46</v>
      </c>
      <c r="D26">
        <f t="shared" si="0"/>
        <v>0.1646</v>
      </c>
      <c r="E26">
        <f t="shared" si="1"/>
        <v>1.1646000000000001</v>
      </c>
      <c r="F26">
        <f t="shared" si="3"/>
        <v>1155.7967021108232</v>
      </c>
      <c r="G26">
        <v>0</v>
      </c>
      <c r="H26">
        <f t="shared" si="2"/>
        <v>101.01010101010101</v>
      </c>
      <c r="I26">
        <f t="shared" si="4"/>
        <v>13460.40839278265</v>
      </c>
      <c r="J26">
        <f t="shared" si="6"/>
        <v>4564.4776923059744</v>
      </c>
      <c r="K26">
        <f t="shared" si="5"/>
        <v>2424.242424242424</v>
      </c>
      <c r="L26">
        <f>IF(I26&lt;MAX($I$3:I26),1,0)</f>
        <v>1</v>
      </c>
      <c r="M26">
        <f>IF(J26&lt;MAX($J$3:J26),1,0)</f>
        <v>0</v>
      </c>
    </row>
    <row r="27" spans="1:13" x14ac:dyDescent="0.25">
      <c r="A27" s="1">
        <v>19359</v>
      </c>
      <c r="B27" s="2">
        <v>1952</v>
      </c>
      <c r="C27">
        <v>11.78</v>
      </c>
      <c r="D27">
        <f t="shared" si="0"/>
        <v>0.11779999999999999</v>
      </c>
      <c r="E27">
        <f t="shared" si="1"/>
        <v>1.1177999999999999</v>
      </c>
      <c r="F27">
        <f t="shared" si="3"/>
        <v>1346.0408392782647</v>
      </c>
      <c r="G27">
        <v>0</v>
      </c>
      <c r="H27">
        <f t="shared" si="2"/>
        <v>101.01010101010101</v>
      </c>
      <c r="I27">
        <f t="shared" si="4"/>
        <v>15046.044501452445</v>
      </c>
      <c r="J27">
        <f t="shared" si="6"/>
        <v>5215.0822553687085</v>
      </c>
      <c r="K27">
        <f t="shared" si="5"/>
        <v>2525.2525252525252</v>
      </c>
      <c r="L27">
        <f>IF(I27&lt;MAX($I$3:I27),1,0)</f>
        <v>0</v>
      </c>
      <c r="M27">
        <f>IF(J27&lt;MAX($J$3:J27),1,0)</f>
        <v>0</v>
      </c>
    </row>
    <row r="28" spans="1:13" x14ac:dyDescent="0.25">
      <c r="A28" s="1">
        <v>19724</v>
      </c>
      <c r="B28" s="2">
        <v>1953</v>
      </c>
      <c r="C28">
        <v>-6.62</v>
      </c>
      <c r="D28">
        <f t="shared" si="0"/>
        <v>-6.6199999999999995E-2</v>
      </c>
      <c r="E28">
        <f t="shared" si="1"/>
        <v>0.93379999999999996</v>
      </c>
      <c r="F28">
        <f t="shared" si="3"/>
        <v>1504.6044501452441</v>
      </c>
      <c r="G28">
        <v>0</v>
      </c>
      <c r="H28">
        <f t="shared" si="2"/>
        <v>101.01010101010101</v>
      </c>
      <c r="I28">
        <f t="shared" si="4"/>
        <v>14049.996355456293</v>
      </c>
      <c r="J28">
        <f t="shared" si="6"/>
        <v>4964.1670423865326</v>
      </c>
      <c r="K28">
        <f t="shared" si="5"/>
        <v>2626.2626262626263</v>
      </c>
      <c r="L28">
        <f>IF(I28&lt;MAX($I$3:I28),1,0)</f>
        <v>1</v>
      </c>
      <c r="M28">
        <f>IF(J28&lt;MAX($J$3:J28),1,0)</f>
        <v>1</v>
      </c>
    </row>
    <row r="29" spans="1:13" x14ac:dyDescent="0.25">
      <c r="A29" s="1">
        <v>20089</v>
      </c>
      <c r="B29" s="2">
        <v>1954</v>
      </c>
      <c r="C29">
        <v>45.02</v>
      </c>
      <c r="D29">
        <f t="shared" si="0"/>
        <v>0.45020000000000004</v>
      </c>
      <c r="E29">
        <f t="shared" si="1"/>
        <v>1.4502000000000002</v>
      </c>
      <c r="F29">
        <f t="shared" si="3"/>
        <v>1404.999635545629</v>
      </c>
      <c r="G29">
        <v>0</v>
      </c>
      <c r="H29">
        <f t="shared" si="2"/>
        <v>101.01010101010101</v>
      </c>
      <c r="I29">
        <f t="shared" si="4"/>
        <v>20375.304714682719</v>
      </c>
      <c r="J29">
        <f>J28*E29+H29*PRODUCT(E29)</f>
        <v>7345.5198933537995</v>
      </c>
      <c r="K29">
        <f>K28+H29</f>
        <v>2727.2727272727275</v>
      </c>
      <c r="L29">
        <f>IF(I29&lt;MAX($I$3:I29),1,0)</f>
        <v>0</v>
      </c>
      <c r="M29">
        <f>IF(J29&lt;MAX($J$3:J29),1,0)</f>
        <v>0</v>
      </c>
    </row>
    <row r="30" spans="1:13" x14ac:dyDescent="0.25">
      <c r="A30" s="1">
        <v>20454</v>
      </c>
      <c r="B30" s="2">
        <v>1955</v>
      </c>
      <c r="C30">
        <v>26.4</v>
      </c>
      <c r="D30">
        <f t="shared" si="0"/>
        <v>0.26400000000000001</v>
      </c>
      <c r="E30">
        <f t="shared" si="1"/>
        <v>1.264</v>
      </c>
      <c r="F30">
        <f t="shared" si="3"/>
        <v>2037.5304714682713</v>
      </c>
      <c r="G30">
        <v>0</v>
      </c>
      <c r="H30">
        <f t="shared" si="2"/>
        <v>101.01010101010101</v>
      </c>
      <c r="I30">
        <f t="shared" si="4"/>
        <v>25754.385159358957</v>
      </c>
      <c r="J30">
        <f t="shared" ref="J30:J93" si="7">J29*E30+H30*PRODUCT(E30)</f>
        <v>9412.4139128759707</v>
      </c>
      <c r="K30">
        <f t="shared" ref="K30:K93" si="8">K29+H30</f>
        <v>2828.2828282828286</v>
      </c>
      <c r="L30">
        <f>IF(I30&lt;MAX($I$3:I30),1,0)</f>
        <v>0</v>
      </c>
      <c r="M30">
        <f>IF(J30&lt;MAX($J$3:J30),1,0)</f>
        <v>0</v>
      </c>
    </row>
    <row r="31" spans="1:13" x14ac:dyDescent="0.25">
      <c r="A31" s="1">
        <v>20820</v>
      </c>
      <c r="B31" s="2">
        <v>1956</v>
      </c>
      <c r="C31">
        <v>2.62</v>
      </c>
      <c r="D31">
        <f t="shared" si="0"/>
        <v>2.6200000000000001E-2</v>
      </c>
      <c r="E31">
        <f t="shared" si="1"/>
        <v>1.0262</v>
      </c>
      <c r="F31">
        <f t="shared" si="3"/>
        <v>2575.4385159358949</v>
      </c>
      <c r="G31">
        <v>0</v>
      </c>
      <c r="H31">
        <f t="shared" si="2"/>
        <v>101.01010101010101</v>
      </c>
      <c r="I31">
        <f t="shared" si="4"/>
        <v>26429.150050534161</v>
      </c>
      <c r="J31">
        <f t="shared" si="7"/>
        <v>9762.6757230498861</v>
      </c>
      <c r="K31">
        <f t="shared" si="8"/>
        <v>2929.2929292929298</v>
      </c>
      <c r="L31">
        <f>IF(I31&lt;MAX($I$3:I31),1,0)</f>
        <v>0</v>
      </c>
      <c r="M31">
        <f>IF(J31&lt;MAX($J$3:J31),1,0)</f>
        <v>0</v>
      </c>
    </row>
    <row r="32" spans="1:13" x14ac:dyDescent="0.25">
      <c r="A32" s="1">
        <v>21185</v>
      </c>
      <c r="B32" s="2">
        <v>1957</v>
      </c>
      <c r="C32">
        <v>-14.31</v>
      </c>
      <c r="D32">
        <f t="shared" si="0"/>
        <v>-0.1431</v>
      </c>
      <c r="E32">
        <f t="shared" si="1"/>
        <v>0.8569</v>
      </c>
      <c r="F32">
        <f t="shared" si="3"/>
        <v>2642.9150050534154</v>
      </c>
      <c r="G32">
        <v>0</v>
      </c>
      <c r="H32">
        <f t="shared" si="2"/>
        <v>101.01010101010101</v>
      </c>
      <c r="I32">
        <f t="shared" si="4"/>
        <v>22647.138678302723</v>
      </c>
      <c r="J32">
        <f t="shared" si="7"/>
        <v>8452.1923826370021</v>
      </c>
      <c r="K32">
        <f t="shared" si="8"/>
        <v>3030.3030303030309</v>
      </c>
      <c r="L32">
        <f>IF(I32&lt;MAX($I$3:I32),1,0)</f>
        <v>1</v>
      </c>
      <c r="M32">
        <f>IF(J32&lt;MAX($J$3:J32),1,0)</f>
        <v>1</v>
      </c>
    </row>
    <row r="33" spans="1:13" x14ac:dyDescent="0.25">
      <c r="A33" s="1">
        <v>21550</v>
      </c>
      <c r="B33" s="2">
        <v>1958</v>
      </c>
      <c r="C33">
        <v>38.06</v>
      </c>
      <c r="D33">
        <f t="shared" si="0"/>
        <v>0.38060000000000005</v>
      </c>
      <c r="E33">
        <f t="shared" si="1"/>
        <v>1.3806</v>
      </c>
      <c r="F33">
        <f t="shared" si="3"/>
        <v>2264.7138678302717</v>
      </c>
      <c r="G33">
        <v>0</v>
      </c>
      <c r="H33">
        <f t="shared" si="2"/>
        <v>101.01010101010101</v>
      </c>
      <c r="I33">
        <f t="shared" si="4"/>
        <v>31266.63965926474</v>
      </c>
      <c r="J33">
        <f t="shared" si="7"/>
        <v>11808.551348923191</v>
      </c>
      <c r="K33">
        <f t="shared" si="8"/>
        <v>3131.3131313131321</v>
      </c>
      <c r="L33">
        <f>IF(I33&lt;MAX($I$3:I33),1,0)</f>
        <v>0</v>
      </c>
      <c r="M33">
        <f>IF(J33&lt;MAX($J$3:J33),1,0)</f>
        <v>0</v>
      </c>
    </row>
    <row r="34" spans="1:13" x14ac:dyDescent="0.25">
      <c r="A34" s="1">
        <v>21915</v>
      </c>
      <c r="B34" s="2">
        <v>1959</v>
      </c>
      <c r="C34">
        <v>8.48</v>
      </c>
      <c r="D34">
        <f t="shared" si="0"/>
        <v>8.48E-2</v>
      </c>
      <c r="E34">
        <f t="shared" si="1"/>
        <v>1.0848</v>
      </c>
      <c r="F34">
        <f t="shared" si="3"/>
        <v>3126.6639659264733</v>
      </c>
      <c r="G34">
        <v>0</v>
      </c>
      <c r="H34">
        <f t="shared" si="2"/>
        <v>101.01010101010101</v>
      </c>
      <c r="I34">
        <f t="shared" si="4"/>
        <v>33918.05070237039</v>
      </c>
      <c r="J34">
        <f t="shared" si="7"/>
        <v>12919.492260887635</v>
      </c>
      <c r="K34">
        <f t="shared" si="8"/>
        <v>3232.3232323232332</v>
      </c>
      <c r="L34">
        <f>IF(I34&lt;MAX($I$3:I34),1,0)</f>
        <v>0</v>
      </c>
      <c r="M34">
        <f>IF(J34&lt;MAX($J$3:J34),1,0)</f>
        <v>0</v>
      </c>
    </row>
    <row r="35" spans="1:13" x14ac:dyDescent="0.25">
      <c r="A35" s="1">
        <v>22281</v>
      </c>
      <c r="B35" s="2">
        <v>1960</v>
      </c>
      <c r="C35">
        <v>-2.97</v>
      </c>
      <c r="D35">
        <f t="shared" si="0"/>
        <v>-2.9700000000000001E-2</v>
      </c>
      <c r="E35">
        <f t="shared" si="1"/>
        <v>0.97030000000000005</v>
      </c>
      <c r="F35">
        <f t="shared" si="3"/>
        <v>3391.8050702370383</v>
      </c>
      <c r="G35">
        <v>0</v>
      </c>
      <c r="H35">
        <f t="shared" si="2"/>
        <v>101.01010101010101</v>
      </c>
      <c r="I35">
        <f t="shared" si="4"/>
        <v>32910.684596509993</v>
      </c>
      <c r="J35">
        <f t="shared" si="7"/>
        <v>12633.793441749374</v>
      </c>
      <c r="K35">
        <f t="shared" si="8"/>
        <v>3333.3333333333344</v>
      </c>
      <c r="L35">
        <f>IF(I35&lt;MAX($I$3:I35),1,0)</f>
        <v>1</v>
      </c>
      <c r="M35">
        <f>IF(J35&lt;MAX($J$3:J35),1,0)</f>
        <v>1</v>
      </c>
    </row>
    <row r="36" spans="1:13" x14ac:dyDescent="0.25">
      <c r="A36" s="1">
        <v>22646</v>
      </c>
      <c r="B36" s="2">
        <v>1961</v>
      </c>
      <c r="C36">
        <v>23.13</v>
      </c>
      <c r="D36">
        <f t="shared" si="0"/>
        <v>0.23129999999999998</v>
      </c>
      <c r="E36">
        <f t="shared" si="1"/>
        <v>1.2313000000000001</v>
      </c>
      <c r="F36">
        <f t="shared" si="3"/>
        <v>3291.0684596509986</v>
      </c>
      <c r="G36">
        <v>0</v>
      </c>
      <c r="H36">
        <f t="shared" si="2"/>
        <v>101.01010101010101</v>
      </c>
      <c r="I36">
        <f t="shared" si="4"/>
        <v>40522.925943682756</v>
      </c>
      <c r="J36">
        <f t="shared" si="7"/>
        <v>15680.363602199743</v>
      </c>
      <c r="K36">
        <f t="shared" si="8"/>
        <v>3434.3434343434355</v>
      </c>
      <c r="L36">
        <f>IF(I36&lt;MAX($I$3:I36),1,0)</f>
        <v>0</v>
      </c>
      <c r="M36">
        <f>IF(J36&lt;MAX($J$3:J36),1,0)</f>
        <v>0</v>
      </c>
    </row>
    <row r="37" spans="1:13" x14ac:dyDescent="0.25">
      <c r="A37" s="1">
        <v>23011</v>
      </c>
      <c r="B37" s="2">
        <v>1962</v>
      </c>
      <c r="C37">
        <v>-11.81</v>
      </c>
      <c r="D37">
        <f t="shared" si="0"/>
        <v>-0.11810000000000001</v>
      </c>
      <c r="E37">
        <f t="shared" si="1"/>
        <v>0.88190000000000002</v>
      </c>
      <c r="F37">
        <f t="shared" si="3"/>
        <v>4052.2925943682749</v>
      </c>
      <c r="G37">
        <v>0</v>
      </c>
      <c r="H37">
        <f t="shared" si="2"/>
        <v>101.01010101010101</v>
      </c>
      <c r="I37">
        <f t="shared" si="4"/>
        <v>35737.168389733823</v>
      </c>
      <c r="J37">
        <f t="shared" si="7"/>
        <v>13917.593468860761</v>
      </c>
      <c r="K37">
        <f t="shared" si="8"/>
        <v>3535.3535353535367</v>
      </c>
      <c r="L37">
        <f>IF(I37&lt;MAX($I$3:I37),1,0)</f>
        <v>1</v>
      </c>
      <c r="M37">
        <f>IF(J37&lt;MAX($J$3:J37),1,0)</f>
        <v>1</v>
      </c>
    </row>
    <row r="38" spans="1:13" x14ac:dyDescent="0.25">
      <c r="A38" s="1">
        <v>23376</v>
      </c>
      <c r="B38" s="2">
        <v>1963</v>
      </c>
      <c r="C38">
        <v>18.89</v>
      </c>
      <c r="D38">
        <f t="shared" si="0"/>
        <v>0.18890000000000001</v>
      </c>
      <c r="E38">
        <f t="shared" si="1"/>
        <v>1.1889000000000001</v>
      </c>
      <c r="F38">
        <f t="shared" si="3"/>
        <v>3573.7168389733815</v>
      </c>
      <c r="G38">
        <v>0</v>
      </c>
      <c r="H38">
        <f t="shared" si="2"/>
        <v>101.01010101010101</v>
      </c>
      <c r="I38">
        <f t="shared" si="4"/>
        <v>42487.919498554547</v>
      </c>
      <c r="J38">
        <f t="shared" si="7"/>
        <v>16666.717784219469</v>
      </c>
      <c r="K38">
        <f t="shared" si="8"/>
        <v>3636.3636363636379</v>
      </c>
      <c r="L38">
        <f>IF(I38&lt;MAX($I$3:I38),1,0)</f>
        <v>0</v>
      </c>
      <c r="M38">
        <f>IF(J38&lt;MAX($J$3:J38),1,0)</f>
        <v>0</v>
      </c>
    </row>
    <row r="39" spans="1:13" x14ac:dyDescent="0.25">
      <c r="A39" s="1">
        <v>23742</v>
      </c>
      <c r="B39" s="2">
        <v>1964</v>
      </c>
      <c r="C39">
        <v>12.97</v>
      </c>
      <c r="D39">
        <f t="shared" si="0"/>
        <v>0.12970000000000001</v>
      </c>
      <c r="E39">
        <f t="shared" si="1"/>
        <v>1.1296999999999999</v>
      </c>
      <c r="F39">
        <f t="shared" si="3"/>
        <v>4248.7919498554538</v>
      </c>
      <c r="G39">
        <v>0</v>
      </c>
      <c r="H39">
        <f t="shared" si="2"/>
        <v>101.01010101010101</v>
      </c>
      <c r="I39">
        <f t="shared" si="4"/>
        <v>47998.602657517069</v>
      </c>
      <c r="J39">
        <f t="shared" si="7"/>
        <v>18942.50219194384</v>
      </c>
      <c r="K39">
        <f t="shared" si="8"/>
        <v>3737.373737373739</v>
      </c>
      <c r="L39">
        <f>IF(I39&lt;MAX($I$3:I39),1,0)</f>
        <v>0</v>
      </c>
      <c r="M39">
        <f>IF(J39&lt;MAX($J$3:J39),1,0)</f>
        <v>0</v>
      </c>
    </row>
    <row r="40" spans="1:13" x14ac:dyDescent="0.25">
      <c r="A40" s="1">
        <v>24107</v>
      </c>
      <c r="B40" s="2">
        <v>1965</v>
      </c>
      <c r="C40">
        <v>9.06</v>
      </c>
      <c r="D40">
        <f t="shared" si="0"/>
        <v>9.06E-2</v>
      </c>
      <c r="E40">
        <f t="shared" si="1"/>
        <v>1.0906</v>
      </c>
      <c r="F40">
        <f t="shared" si="3"/>
        <v>4799.8602657517058</v>
      </c>
      <c r="G40">
        <v>0</v>
      </c>
      <c r="H40">
        <f t="shared" si="2"/>
        <v>101.01010101010101</v>
      </c>
      <c r="I40">
        <f t="shared" si="4"/>
        <v>52347.276058288116</v>
      </c>
      <c r="J40">
        <f t="shared" si="7"/>
        <v>20768.854506695567</v>
      </c>
      <c r="K40">
        <f t="shared" si="8"/>
        <v>3838.3838383838402</v>
      </c>
      <c r="L40">
        <f>IF(I40&lt;MAX($I$3:I40),1,0)</f>
        <v>0</v>
      </c>
      <c r="M40">
        <f>IF(J40&lt;MAX($J$3:J40),1,0)</f>
        <v>0</v>
      </c>
    </row>
    <row r="41" spans="1:13" x14ac:dyDescent="0.25">
      <c r="A41" s="1">
        <v>24472</v>
      </c>
      <c r="B41" s="2">
        <v>1966</v>
      </c>
      <c r="C41">
        <v>-13.09</v>
      </c>
      <c r="D41">
        <f t="shared" si="0"/>
        <v>-0.13089999999999999</v>
      </c>
      <c r="E41">
        <f t="shared" si="1"/>
        <v>0.86909999999999998</v>
      </c>
      <c r="F41">
        <f t="shared" si="3"/>
        <v>5234.7276058288107</v>
      </c>
      <c r="G41">
        <v>0</v>
      </c>
      <c r="H41">
        <f t="shared" si="2"/>
        <v>101.01010101010101</v>
      </c>
      <c r="I41">
        <f t="shared" si="4"/>
        <v>45495.017622258201</v>
      </c>
      <c r="J41">
        <f t="shared" si="7"/>
        <v>18137.999330556995</v>
      </c>
      <c r="K41">
        <f t="shared" si="8"/>
        <v>3939.3939393939413</v>
      </c>
      <c r="L41">
        <f>IF(I41&lt;MAX($I$3:I41),1,0)</f>
        <v>1</v>
      </c>
      <c r="M41">
        <f>IF(J41&lt;MAX($J$3:J41),1,0)</f>
        <v>1</v>
      </c>
    </row>
    <row r="42" spans="1:13" x14ac:dyDescent="0.25">
      <c r="A42" s="1">
        <v>24837</v>
      </c>
      <c r="B42" s="2">
        <v>1967</v>
      </c>
      <c r="C42">
        <v>20.09</v>
      </c>
      <c r="D42">
        <f t="shared" si="0"/>
        <v>0.2009</v>
      </c>
      <c r="E42">
        <f t="shared" si="1"/>
        <v>1.2009000000000001</v>
      </c>
      <c r="F42">
        <f t="shared" si="3"/>
        <v>4549.5017622258192</v>
      </c>
      <c r="G42">
        <v>0</v>
      </c>
      <c r="H42">
        <f t="shared" si="2"/>
        <v>101.01010101010101</v>
      </c>
      <c r="I42">
        <f t="shared" si="4"/>
        <v>54634.966662569881</v>
      </c>
      <c r="J42">
        <f t="shared" si="7"/>
        <v>21903.226426368929</v>
      </c>
      <c r="K42">
        <f t="shared" si="8"/>
        <v>4040.4040404040425</v>
      </c>
      <c r="L42">
        <f>IF(I42&lt;MAX($I$3:I42),1,0)</f>
        <v>0</v>
      </c>
      <c r="M42">
        <f>IF(J42&lt;MAX($J$3:J42),1,0)</f>
        <v>0</v>
      </c>
    </row>
    <row r="43" spans="1:13" x14ac:dyDescent="0.25">
      <c r="A43" s="1">
        <v>25203</v>
      </c>
      <c r="B43" s="2">
        <v>1968</v>
      </c>
      <c r="C43">
        <v>7.66</v>
      </c>
      <c r="D43">
        <f t="shared" si="0"/>
        <v>7.6600000000000001E-2</v>
      </c>
      <c r="E43">
        <f t="shared" si="1"/>
        <v>1.0766</v>
      </c>
      <c r="F43">
        <f t="shared" si="3"/>
        <v>5463.4966662569868</v>
      </c>
      <c r="G43">
        <v>0</v>
      </c>
      <c r="H43">
        <f t="shared" si="2"/>
        <v>101.01010101010101</v>
      </c>
      <c r="I43">
        <f t="shared" si="4"/>
        <v>58820.005108922735</v>
      </c>
      <c r="J43">
        <f t="shared" si="7"/>
        <v>23689.761045376261</v>
      </c>
      <c r="K43">
        <f t="shared" si="8"/>
        <v>4141.4141414141432</v>
      </c>
      <c r="L43">
        <f>IF(I43&lt;MAX($I$3:I43),1,0)</f>
        <v>0</v>
      </c>
      <c r="M43">
        <f>IF(J43&lt;MAX($J$3:J43),1,0)</f>
        <v>0</v>
      </c>
    </row>
    <row r="44" spans="1:13" x14ac:dyDescent="0.25">
      <c r="A44" s="1">
        <v>25568</v>
      </c>
      <c r="B44" s="2">
        <v>1969</v>
      </c>
      <c r="C44">
        <v>-11.36</v>
      </c>
      <c r="D44">
        <f t="shared" si="0"/>
        <v>-0.11359999999999999</v>
      </c>
      <c r="E44">
        <f t="shared" si="1"/>
        <v>0.88639999999999997</v>
      </c>
      <c r="F44">
        <f t="shared" si="3"/>
        <v>5882.0005108922724</v>
      </c>
      <c r="G44">
        <v>0</v>
      </c>
      <c r="H44">
        <f t="shared" si="2"/>
        <v>101.01010101010101</v>
      </c>
      <c r="I44">
        <f t="shared" si="4"/>
        <v>52138.052528549109</v>
      </c>
      <c r="J44">
        <f t="shared" si="7"/>
        <v>21088.139544156871</v>
      </c>
      <c r="K44">
        <f t="shared" si="8"/>
        <v>4242.4242424242439</v>
      </c>
      <c r="L44">
        <f>IF(I44&lt;MAX($I$3:I44),1,0)</f>
        <v>1</v>
      </c>
      <c r="M44">
        <f>IF(J44&lt;MAX($J$3:J44),1,0)</f>
        <v>1</v>
      </c>
    </row>
    <row r="45" spans="1:13" x14ac:dyDescent="0.25">
      <c r="A45" s="1">
        <v>25933</v>
      </c>
      <c r="B45" s="2">
        <v>1970</v>
      </c>
      <c r="C45">
        <v>0.1</v>
      </c>
      <c r="D45">
        <f t="shared" si="0"/>
        <v>1E-3</v>
      </c>
      <c r="E45">
        <f t="shared" si="1"/>
        <v>1.0009999999999999</v>
      </c>
      <c r="F45">
        <f t="shared" si="3"/>
        <v>5213.8052528549097</v>
      </c>
      <c r="G45">
        <v>0</v>
      </c>
      <c r="H45">
        <f t="shared" si="2"/>
        <v>101.01010101010101</v>
      </c>
      <c r="I45">
        <f t="shared" si="4"/>
        <v>52190.190581077652</v>
      </c>
      <c r="J45">
        <f t="shared" si="7"/>
        <v>21210.338794812134</v>
      </c>
      <c r="K45">
        <f t="shared" si="8"/>
        <v>4343.4343434343446</v>
      </c>
      <c r="L45">
        <f>IF(I45&lt;MAX($I$3:I45),1,0)</f>
        <v>1</v>
      </c>
      <c r="M45">
        <f>IF(J45&lt;MAX($J$3:J45),1,0)</f>
        <v>1</v>
      </c>
    </row>
    <row r="46" spans="1:13" x14ac:dyDescent="0.25">
      <c r="A46" s="1">
        <v>26298</v>
      </c>
      <c r="B46" s="2">
        <v>1971</v>
      </c>
      <c r="C46">
        <v>10.79</v>
      </c>
      <c r="D46">
        <f t="shared" si="0"/>
        <v>0.1079</v>
      </c>
      <c r="E46">
        <f t="shared" si="1"/>
        <v>1.1078999999999999</v>
      </c>
      <c r="F46">
        <f t="shared" si="3"/>
        <v>5219.0190581077641</v>
      </c>
      <c r="G46">
        <v>0</v>
      </c>
      <c r="H46">
        <f t="shared" si="2"/>
        <v>101.01010101010101</v>
      </c>
      <c r="I46">
        <f t="shared" si="4"/>
        <v>57821.512144775923</v>
      </c>
      <c r="J46">
        <f t="shared" si="7"/>
        <v>23610.843441681453</v>
      </c>
      <c r="K46">
        <f t="shared" si="8"/>
        <v>4444.4444444444453</v>
      </c>
      <c r="L46">
        <f>IF(I46&lt;MAX($I$3:I46),1,0)</f>
        <v>1</v>
      </c>
      <c r="M46">
        <f>IF(J46&lt;MAX($J$3:J46),1,0)</f>
        <v>1</v>
      </c>
    </row>
    <row r="47" spans="1:13" x14ac:dyDescent="0.25">
      <c r="A47" s="1">
        <v>26664</v>
      </c>
      <c r="B47" s="2">
        <v>1972</v>
      </c>
      <c r="C47">
        <v>15.63</v>
      </c>
      <c r="D47">
        <f t="shared" si="0"/>
        <v>0.15629999999999999</v>
      </c>
      <c r="E47">
        <f t="shared" si="1"/>
        <v>1.1562999999999999</v>
      </c>
      <c r="F47">
        <f t="shared" si="3"/>
        <v>5782.1512144775916</v>
      </c>
      <c r="G47">
        <v>0</v>
      </c>
      <c r="H47">
        <f t="shared" si="2"/>
        <v>101.01010101010101</v>
      </c>
      <c r="I47">
        <f t="shared" si="4"/>
        <v>66859.01449300439</v>
      </c>
      <c r="J47">
        <f t="shared" si="7"/>
        <v>27418.016251414239</v>
      </c>
      <c r="K47">
        <f t="shared" si="8"/>
        <v>4545.454545454546</v>
      </c>
      <c r="L47">
        <f>IF(I47&lt;MAX($I$3:I47),1,0)</f>
        <v>0</v>
      </c>
      <c r="M47">
        <f>IF(J47&lt;MAX($J$3:J47),1,0)</f>
        <v>0</v>
      </c>
    </row>
    <row r="48" spans="1:13" x14ac:dyDescent="0.25">
      <c r="A48" s="1">
        <v>27029</v>
      </c>
      <c r="B48" s="2">
        <v>1973</v>
      </c>
      <c r="C48">
        <v>-17.37</v>
      </c>
      <c r="D48">
        <f t="shared" si="0"/>
        <v>-0.17370000000000002</v>
      </c>
      <c r="E48">
        <f t="shared" si="1"/>
        <v>0.82630000000000003</v>
      </c>
      <c r="F48">
        <f t="shared" si="3"/>
        <v>6685.9014493004388</v>
      </c>
      <c r="G48">
        <v>0</v>
      </c>
      <c r="H48">
        <f t="shared" si="2"/>
        <v>101.01010101010101</v>
      </c>
      <c r="I48">
        <f t="shared" si="4"/>
        <v>55245.603675569531</v>
      </c>
      <c r="J48">
        <f t="shared" si="7"/>
        <v>22738.971475008235</v>
      </c>
      <c r="K48">
        <f t="shared" si="8"/>
        <v>4646.4646464646466</v>
      </c>
      <c r="L48">
        <f>IF(I48&lt;MAX($I$3:I48),1,0)</f>
        <v>1</v>
      </c>
      <c r="M48">
        <f>IF(J48&lt;MAX($J$3:J48),1,0)</f>
        <v>1</v>
      </c>
    </row>
    <row r="49" spans="1:13" x14ac:dyDescent="0.25">
      <c r="A49" s="1">
        <v>27394</v>
      </c>
      <c r="B49" s="2">
        <v>1974</v>
      </c>
      <c r="C49">
        <v>-29.72</v>
      </c>
      <c r="D49">
        <f t="shared" si="0"/>
        <v>-0.29719999999999996</v>
      </c>
      <c r="E49">
        <f t="shared" si="1"/>
        <v>0.70280000000000009</v>
      </c>
      <c r="F49">
        <f t="shared" si="3"/>
        <v>5524.5603675569528</v>
      </c>
      <c r="G49">
        <v>0</v>
      </c>
      <c r="H49">
        <f t="shared" si="2"/>
        <v>101.01010101010101</v>
      </c>
      <c r="I49">
        <f t="shared" si="4"/>
        <v>38826.610263190269</v>
      </c>
      <c r="J49">
        <f t="shared" si="7"/>
        <v>16051.939051625688</v>
      </c>
      <c r="K49">
        <f t="shared" si="8"/>
        <v>4747.4747474747473</v>
      </c>
      <c r="L49">
        <f>IF(I49&lt;MAX($I$3:I49),1,0)</f>
        <v>1</v>
      </c>
      <c r="M49">
        <f>IF(J49&lt;MAX($J$3:J49),1,0)</f>
        <v>1</v>
      </c>
    </row>
    <row r="50" spans="1:13" x14ac:dyDescent="0.25">
      <c r="A50" s="1">
        <v>27759</v>
      </c>
      <c r="B50" s="2">
        <v>1975</v>
      </c>
      <c r="C50">
        <v>31.55</v>
      </c>
      <c r="D50">
        <f t="shared" si="0"/>
        <v>0.3155</v>
      </c>
      <c r="E50">
        <f t="shared" si="1"/>
        <v>1.3155000000000001</v>
      </c>
      <c r="F50">
        <f t="shared" si="3"/>
        <v>3882.6610263190269</v>
      </c>
      <c r="G50">
        <v>0</v>
      </c>
      <c r="H50">
        <f t="shared" si="2"/>
        <v>101.01010101010101</v>
      </c>
      <c r="I50">
        <f t="shared" si="4"/>
        <v>51076.4058012268</v>
      </c>
      <c r="J50">
        <f t="shared" si="7"/>
        <v>21249.204610292381</v>
      </c>
      <c r="K50">
        <f t="shared" si="8"/>
        <v>4848.484848484848</v>
      </c>
      <c r="L50">
        <f>IF(I50&lt;MAX($I$3:I50),1,0)</f>
        <v>1</v>
      </c>
      <c r="M50">
        <f>IF(J50&lt;MAX($J$3:J50),1,0)</f>
        <v>1</v>
      </c>
    </row>
    <row r="51" spans="1:13" x14ac:dyDescent="0.25">
      <c r="A51" s="1">
        <v>28125</v>
      </c>
      <c r="B51" s="2">
        <v>1976</v>
      </c>
      <c r="C51">
        <v>19.149999999999999</v>
      </c>
      <c r="D51">
        <f t="shared" si="0"/>
        <v>0.19149999999999998</v>
      </c>
      <c r="E51">
        <f t="shared" si="1"/>
        <v>1.1915</v>
      </c>
      <c r="F51">
        <f t="shared" si="3"/>
        <v>5107.6405801226801</v>
      </c>
      <c r="G51">
        <v>0</v>
      </c>
      <c r="H51">
        <f t="shared" si="2"/>
        <v>101.01010101010101</v>
      </c>
      <c r="I51">
        <f t="shared" si="4"/>
        <v>60857.537512161733</v>
      </c>
      <c r="J51">
        <f t="shared" si="7"/>
        <v>25438.780828516909</v>
      </c>
      <c r="K51">
        <f t="shared" si="8"/>
        <v>4949.4949494949487</v>
      </c>
      <c r="L51">
        <f>IF(I51&lt;MAX($I$3:I51),1,0)</f>
        <v>1</v>
      </c>
      <c r="M51">
        <f>IF(J51&lt;MAX($J$3:J51),1,0)</f>
        <v>1</v>
      </c>
    </row>
    <row r="52" spans="1:13" x14ac:dyDescent="0.25">
      <c r="A52" s="1">
        <v>28490</v>
      </c>
      <c r="B52" s="2">
        <v>1977</v>
      </c>
      <c r="C52">
        <v>-11.5</v>
      </c>
      <c r="D52">
        <f t="shared" si="0"/>
        <v>-0.115</v>
      </c>
      <c r="E52">
        <f t="shared" si="1"/>
        <v>0.88500000000000001</v>
      </c>
      <c r="F52">
        <f t="shared" si="3"/>
        <v>6085.7537512161734</v>
      </c>
      <c r="G52">
        <v>0</v>
      </c>
      <c r="H52">
        <f t="shared" si="2"/>
        <v>101.01010101010101</v>
      </c>
      <c r="I52">
        <f t="shared" si="4"/>
        <v>53858.920698263137</v>
      </c>
      <c r="J52">
        <f t="shared" si="7"/>
        <v>22602.714972631406</v>
      </c>
      <c r="K52">
        <f t="shared" si="8"/>
        <v>5050.5050505050494</v>
      </c>
      <c r="L52">
        <f>IF(I52&lt;MAX($I$3:I52),1,0)</f>
        <v>1</v>
      </c>
      <c r="M52">
        <f>IF(J52&lt;MAX($J$3:J52),1,0)</f>
        <v>1</v>
      </c>
    </row>
    <row r="53" spans="1:13" x14ac:dyDescent="0.25">
      <c r="A53" s="1">
        <v>28855</v>
      </c>
      <c r="B53" s="2">
        <v>1978</v>
      </c>
      <c r="C53">
        <v>1.06</v>
      </c>
      <c r="D53">
        <f t="shared" si="0"/>
        <v>1.06E-2</v>
      </c>
      <c r="E53">
        <f t="shared" si="1"/>
        <v>1.0105999999999999</v>
      </c>
      <c r="F53">
        <f t="shared" si="3"/>
        <v>5385.8920698263137</v>
      </c>
      <c r="G53">
        <v>0</v>
      </c>
      <c r="H53">
        <f t="shared" si="2"/>
        <v>101.01010101010101</v>
      </c>
      <c r="I53">
        <f t="shared" si="4"/>
        <v>54429.825257664721</v>
      </c>
      <c r="J53">
        <f t="shared" si="7"/>
        <v>22944.384559422106</v>
      </c>
      <c r="K53">
        <f t="shared" si="8"/>
        <v>5151.5151515151501</v>
      </c>
      <c r="L53">
        <f>IF(I53&lt;MAX($I$3:I53),1,0)</f>
        <v>1</v>
      </c>
      <c r="M53">
        <f>IF(J53&lt;MAX($J$3:J53),1,0)</f>
        <v>1</v>
      </c>
    </row>
    <row r="54" spans="1:13" x14ac:dyDescent="0.25">
      <c r="A54" s="1">
        <v>29220</v>
      </c>
      <c r="B54" s="2">
        <v>1979</v>
      </c>
      <c r="C54">
        <v>12.31</v>
      </c>
      <c r="D54">
        <f t="shared" si="0"/>
        <v>0.1231</v>
      </c>
      <c r="E54">
        <f t="shared" si="1"/>
        <v>1.1231</v>
      </c>
      <c r="F54">
        <f t="shared" si="3"/>
        <v>5442.9825257664725</v>
      </c>
      <c r="G54">
        <v>0</v>
      </c>
      <c r="H54">
        <f t="shared" si="2"/>
        <v>101.01010101010101</v>
      </c>
      <c r="I54">
        <f t="shared" si="4"/>
        <v>61130.136746883247</v>
      </c>
      <c r="J54">
        <f t="shared" si="7"/>
        <v>25882.282743131411</v>
      </c>
      <c r="K54">
        <f t="shared" si="8"/>
        <v>5252.5252525252508</v>
      </c>
      <c r="L54">
        <f>IF(I54&lt;MAX($I$3:I54),1,0)</f>
        <v>1</v>
      </c>
      <c r="M54">
        <f>IF(J54&lt;MAX($J$3:J54),1,0)</f>
        <v>1</v>
      </c>
    </row>
    <row r="55" spans="1:13" x14ac:dyDescent="0.25">
      <c r="A55" s="1">
        <v>29586</v>
      </c>
      <c r="B55" s="2">
        <v>1980</v>
      </c>
      <c r="C55">
        <v>25.77</v>
      </c>
      <c r="D55">
        <f t="shared" si="0"/>
        <v>0.25769999999999998</v>
      </c>
      <c r="E55">
        <f t="shared" si="1"/>
        <v>1.2577</v>
      </c>
      <c r="F55">
        <f t="shared" si="3"/>
        <v>6113.0136746883254</v>
      </c>
      <c r="G55">
        <v>0</v>
      </c>
      <c r="H55">
        <f t="shared" si="2"/>
        <v>101.01010101010101</v>
      </c>
      <c r="I55">
        <f t="shared" si="4"/>
        <v>76883.372986555056</v>
      </c>
      <c r="J55">
        <f t="shared" si="7"/>
        <v>32679.187410076778</v>
      </c>
      <c r="K55">
        <f t="shared" si="8"/>
        <v>5353.5353535353515</v>
      </c>
      <c r="L55">
        <f>IF(I55&lt;MAX($I$3:I55),1,0)</f>
        <v>0</v>
      </c>
      <c r="M55">
        <f>IF(J55&lt;MAX($J$3:J55),1,0)</f>
        <v>0</v>
      </c>
    </row>
    <row r="56" spans="1:13" x14ac:dyDescent="0.25">
      <c r="A56" s="1">
        <v>29951</v>
      </c>
      <c r="B56" s="2">
        <v>1981</v>
      </c>
      <c r="C56">
        <v>-9.73</v>
      </c>
      <c r="D56">
        <f t="shared" si="0"/>
        <v>-9.7299999999999998E-2</v>
      </c>
      <c r="E56">
        <f t="shared" si="1"/>
        <v>0.90270000000000006</v>
      </c>
      <c r="F56">
        <f t="shared" si="3"/>
        <v>7688.3372986555069</v>
      </c>
      <c r="G56">
        <v>0</v>
      </c>
      <c r="H56">
        <f t="shared" si="2"/>
        <v>101.01010101010101</v>
      </c>
      <c r="I56">
        <f t="shared" si="4"/>
        <v>69402.620794963252</v>
      </c>
      <c r="J56">
        <f t="shared" si="7"/>
        <v>29590.684293258128</v>
      </c>
      <c r="K56">
        <f t="shared" si="8"/>
        <v>5454.5454545454522</v>
      </c>
      <c r="L56">
        <f>IF(I56&lt;MAX($I$3:I56),1,0)</f>
        <v>1</v>
      </c>
      <c r="M56">
        <f>IF(J56&lt;MAX($J$3:J56),1,0)</f>
        <v>1</v>
      </c>
    </row>
    <row r="57" spans="1:13" x14ac:dyDescent="0.25">
      <c r="A57" s="1">
        <v>30316</v>
      </c>
      <c r="B57" s="2">
        <v>1982</v>
      </c>
      <c r="C57">
        <v>14.76</v>
      </c>
      <c r="D57">
        <f t="shared" si="0"/>
        <v>0.14760000000000001</v>
      </c>
      <c r="E57">
        <f t="shared" si="1"/>
        <v>1.1476</v>
      </c>
      <c r="F57">
        <f t="shared" si="3"/>
        <v>6940.2620794963268</v>
      </c>
      <c r="G57">
        <v>0</v>
      </c>
      <c r="H57">
        <f t="shared" si="2"/>
        <v>101.01010101010101</v>
      </c>
      <c r="I57">
        <f t="shared" si="4"/>
        <v>79646.447624299821</v>
      </c>
      <c r="J57">
        <f t="shared" si="7"/>
        <v>34074.188486862222</v>
      </c>
      <c r="K57">
        <f t="shared" si="8"/>
        <v>5555.5555555555529</v>
      </c>
      <c r="L57">
        <f>IF(I57&lt;MAX($I$3:I57),1,0)</f>
        <v>0</v>
      </c>
      <c r="M57">
        <f>IF(J57&lt;MAX($J$3:J57),1,0)</f>
        <v>0</v>
      </c>
    </row>
    <row r="58" spans="1:13" x14ac:dyDescent="0.25">
      <c r="A58" s="1">
        <v>30681</v>
      </c>
      <c r="B58" s="2">
        <v>1983</v>
      </c>
      <c r="C58">
        <v>17.27</v>
      </c>
      <c r="D58">
        <f t="shared" si="0"/>
        <v>0.17269999999999999</v>
      </c>
      <c r="E58">
        <f t="shared" si="1"/>
        <v>1.1727000000000001</v>
      </c>
      <c r="F58">
        <f t="shared" si="3"/>
        <v>7964.6447624299844</v>
      </c>
      <c r="G58">
        <v>0</v>
      </c>
      <c r="H58">
        <f t="shared" si="2"/>
        <v>101.01010101010101</v>
      </c>
      <c r="I58">
        <f t="shared" si="4"/>
        <v>93401.389129016403</v>
      </c>
      <c r="J58">
        <f t="shared" si="7"/>
        <v>40077.255383997872</v>
      </c>
      <c r="K58">
        <f t="shared" si="8"/>
        <v>5656.5656565656536</v>
      </c>
      <c r="L58">
        <f>IF(I58&lt;MAX($I$3:I58),1,0)</f>
        <v>0</v>
      </c>
      <c r="M58">
        <f>IF(J58&lt;MAX($J$3:J58),1,0)</f>
        <v>0</v>
      </c>
    </row>
    <row r="59" spans="1:13" x14ac:dyDescent="0.25">
      <c r="A59" s="1">
        <v>31047</v>
      </c>
      <c r="B59" s="2">
        <v>1984</v>
      </c>
      <c r="C59">
        <v>1.4</v>
      </c>
      <c r="D59">
        <f t="shared" si="0"/>
        <v>1.3999999999999999E-2</v>
      </c>
      <c r="E59">
        <f t="shared" si="1"/>
        <v>1.014</v>
      </c>
      <c r="F59">
        <f t="shared" si="3"/>
        <v>9340.1389129016425</v>
      </c>
      <c r="G59">
        <v>0</v>
      </c>
      <c r="H59">
        <f t="shared" si="2"/>
        <v>101.01010101010101</v>
      </c>
      <c r="I59">
        <f t="shared" si="4"/>
        <v>94709.008576822627</v>
      </c>
      <c r="J59">
        <f t="shared" si="7"/>
        <v>40740.761201798079</v>
      </c>
      <c r="K59">
        <f t="shared" si="8"/>
        <v>5757.5757575757543</v>
      </c>
      <c r="L59">
        <f>IF(I59&lt;MAX($I$3:I59),1,0)</f>
        <v>0</v>
      </c>
      <c r="M59">
        <f>IF(J59&lt;MAX($J$3:J59),1,0)</f>
        <v>0</v>
      </c>
    </row>
    <row r="60" spans="1:13" x14ac:dyDescent="0.25">
      <c r="A60" s="1">
        <v>31412</v>
      </c>
      <c r="B60" s="2">
        <v>1985</v>
      </c>
      <c r="C60">
        <v>26.33</v>
      </c>
      <c r="D60">
        <f t="shared" si="0"/>
        <v>0.26329999999999998</v>
      </c>
      <c r="E60">
        <f t="shared" si="1"/>
        <v>1.2633000000000001</v>
      </c>
      <c r="F60">
        <f t="shared" si="3"/>
        <v>9470.9008576822653</v>
      </c>
      <c r="G60">
        <v>0</v>
      </c>
      <c r="H60">
        <f t="shared" si="2"/>
        <v>101.01010101010101</v>
      </c>
      <c r="I60">
        <f t="shared" si="4"/>
        <v>119645.89053510003</v>
      </c>
      <c r="J60">
        <f t="shared" si="7"/>
        <v>51595.409686837578</v>
      </c>
      <c r="K60">
        <f t="shared" si="8"/>
        <v>5858.585858585855</v>
      </c>
      <c r="L60">
        <f>IF(I60&lt;MAX($I$3:I60),1,0)</f>
        <v>0</v>
      </c>
      <c r="M60">
        <f>IF(J60&lt;MAX($J$3:J60),1,0)</f>
        <v>0</v>
      </c>
    </row>
    <row r="61" spans="1:13" x14ac:dyDescent="0.25">
      <c r="A61" s="1">
        <v>31777</v>
      </c>
      <c r="B61" s="2">
        <v>1986</v>
      </c>
      <c r="C61">
        <v>14.62</v>
      </c>
      <c r="D61">
        <f t="shared" si="0"/>
        <v>0.1462</v>
      </c>
      <c r="E61">
        <f t="shared" si="1"/>
        <v>1.1461999999999999</v>
      </c>
      <c r="F61">
        <f t="shared" si="3"/>
        <v>11964.589053510006</v>
      </c>
      <c r="G61">
        <v>0</v>
      </c>
      <c r="H61">
        <f t="shared" si="2"/>
        <v>101.01010101010101</v>
      </c>
      <c r="I61">
        <f t="shared" si="4"/>
        <v>137138.11973133165</v>
      </c>
      <c r="J61">
        <f t="shared" si="7"/>
        <v>59254.436360831009</v>
      </c>
      <c r="K61">
        <f t="shared" si="8"/>
        <v>5959.5959595959557</v>
      </c>
      <c r="L61">
        <f>IF(I61&lt;MAX($I$3:I61),1,0)</f>
        <v>0</v>
      </c>
      <c r="M61">
        <f>IF(J61&lt;MAX($J$3:J61),1,0)</f>
        <v>0</v>
      </c>
    </row>
    <row r="62" spans="1:13" x14ac:dyDescent="0.25">
      <c r="A62" s="1">
        <v>32142</v>
      </c>
      <c r="B62" s="2">
        <v>1987</v>
      </c>
      <c r="C62">
        <v>2.0299999999999998</v>
      </c>
      <c r="D62">
        <f t="shared" si="0"/>
        <v>2.0299999999999999E-2</v>
      </c>
      <c r="E62">
        <f t="shared" si="1"/>
        <v>1.0203</v>
      </c>
      <c r="F62">
        <f t="shared" si="3"/>
        <v>13713.811973133168</v>
      </c>
      <c r="G62">
        <v>0</v>
      </c>
      <c r="H62">
        <f t="shared" si="2"/>
        <v>101.01010101010101</v>
      </c>
      <c r="I62">
        <f t="shared" si="4"/>
        <v>139922.02356187769</v>
      </c>
      <c r="J62">
        <f t="shared" si="7"/>
        <v>60560.362025016482</v>
      </c>
      <c r="K62">
        <f t="shared" si="8"/>
        <v>6060.6060606060564</v>
      </c>
      <c r="L62">
        <f>IF(I62&lt;MAX($I$3:I62),1,0)</f>
        <v>0</v>
      </c>
      <c r="M62">
        <f>IF(J62&lt;MAX($J$3:J62),1,0)</f>
        <v>0</v>
      </c>
    </row>
    <row r="63" spans="1:13" x14ac:dyDescent="0.25">
      <c r="A63" s="1">
        <v>32508</v>
      </c>
      <c r="B63" s="2">
        <v>1988</v>
      </c>
      <c r="C63">
        <v>12.4</v>
      </c>
      <c r="D63">
        <f t="shared" si="0"/>
        <v>0.124</v>
      </c>
      <c r="E63">
        <f t="shared" si="1"/>
        <v>1.1240000000000001</v>
      </c>
      <c r="F63">
        <f t="shared" si="3"/>
        <v>13992.20235618777</v>
      </c>
      <c r="G63">
        <v>0</v>
      </c>
      <c r="H63">
        <f t="shared" si="2"/>
        <v>101.01010101010101</v>
      </c>
      <c r="I63">
        <f t="shared" si="4"/>
        <v>157272.35448355053</v>
      </c>
      <c r="J63">
        <f t="shared" si="7"/>
        <v>68183.382269653885</v>
      </c>
      <c r="K63">
        <f t="shared" si="8"/>
        <v>6161.6161616161571</v>
      </c>
      <c r="L63">
        <f>IF(I63&lt;MAX($I$3:I63),1,0)</f>
        <v>0</v>
      </c>
      <c r="M63">
        <f>IF(J63&lt;MAX($J$3:J63),1,0)</f>
        <v>0</v>
      </c>
    </row>
    <row r="64" spans="1:13" x14ac:dyDescent="0.25">
      <c r="A64" s="1">
        <v>32873</v>
      </c>
      <c r="B64" s="2">
        <v>1989</v>
      </c>
      <c r="C64">
        <v>27.25</v>
      </c>
      <c r="D64">
        <f t="shared" si="0"/>
        <v>0.27250000000000002</v>
      </c>
      <c r="E64">
        <f t="shared" si="1"/>
        <v>1.2725</v>
      </c>
      <c r="F64">
        <f t="shared" si="3"/>
        <v>15727.235448355055</v>
      </c>
      <c r="G64">
        <v>0</v>
      </c>
      <c r="H64">
        <f t="shared" si="2"/>
        <v>101.01010101010101</v>
      </c>
      <c r="I64">
        <f t="shared" si="4"/>
        <v>200129.07108031804</v>
      </c>
      <c r="J64">
        <f t="shared" si="7"/>
        <v>86891.889291669911</v>
      </c>
      <c r="K64">
        <f t="shared" si="8"/>
        <v>6262.6262626262578</v>
      </c>
      <c r="L64">
        <f>IF(I64&lt;MAX($I$3:I64),1,0)</f>
        <v>0</v>
      </c>
      <c r="M64">
        <f>IF(J64&lt;MAX($J$3:J64),1,0)</f>
        <v>0</v>
      </c>
    </row>
    <row r="65" spans="1:13" x14ac:dyDescent="0.25">
      <c r="A65" s="1">
        <v>33238</v>
      </c>
      <c r="B65" s="2">
        <v>1990</v>
      </c>
      <c r="C65">
        <v>-6.56</v>
      </c>
      <c r="D65">
        <f t="shared" si="0"/>
        <v>-6.5599999999999992E-2</v>
      </c>
      <c r="E65">
        <f t="shared" si="1"/>
        <v>0.93440000000000001</v>
      </c>
      <c r="F65">
        <f t="shared" si="3"/>
        <v>20012.907108031806</v>
      </c>
      <c r="G65">
        <v>0</v>
      </c>
      <c r="H65">
        <f t="shared" si="2"/>
        <v>101.01010101010101</v>
      </c>
      <c r="I65">
        <f t="shared" si="4"/>
        <v>187000.60401744919</v>
      </c>
      <c r="J65">
        <f t="shared" si="7"/>
        <v>81286.165192520217</v>
      </c>
      <c r="K65">
        <f t="shared" si="8"/>
        <v>6363.6363636363585</v>
      </c>
      <c r="L65">
        <f>IF(I65&lt;MAX($I$3:I65),1,0)</f>
        <v>1</v>
      </c>
      <c r="M65">
        <f>IF(J65&lt;MAX($J$3:J65),1,0)</f>
        <v>1</v>
      </c>
    </row>
    <row r="66" spans="1:13" x14ac:dyDescent="0.25">
      <c r="A66" s="1">
        <v>33603</v>
      </c>
      <c r="B66" s="2">
        <v>1991</v>
      </c>
      <c r="C66">
        <v>26.31</v>
      </c>
      <c r="D66">
        <f t="shared" si="0"/>
        <v>0.2631</v>
      </c>
      <c r="E66">
        <f t="shared" si="1"/>
        <v>1.2631000000000001</v>
      </c>
      <c r="F66">
        <f t="shared" si="3"/>
        <v>18700.060401744919</v>
      </c>
      <c r="G66">
        <v>0</v>
      </c>
      <c r="H66">
        <f t="shared" si="2"/>
        <v>101.01010101010101</v>
      </c>
      <c r="I66">
        <f t="shared" si="4"/>
        <v>236200.46293444009</v>
      </c>
      <c r="J66">
        <f t="shared" si="7"/>
        <v>102800.14111325814</v>
      </c>
      <c r="K66">
        <f t="shared" si="8"/>
        <v>6464.6464646464592</v>
      </c>
      <c r="L66">
        <f>IF(I66&lt;MAX($I$3:I66),1,0)</f>
        <v>0</v>
      </c>
      <c r="M66">
        <f>IF(J66&lt;MAX($J$3:J66),1,0)</f>
        <v>0</v>
      </c>
    </row>
    <row r="67" spans="1:13" x14ac:dyDescent="0.25">
      <c r="A67" s="1">
        <v>33969</v>
      </c>
      <c r="B67" s="2">
        <v>1992</v>
      </c>
      <c r="C67">
        <v>4.46</v>
      </c>
      <c r="D67">
        <f t="shared" si="0"/>
        <v>4.4600000000000001E-2</v>
      </c>
      <c r="E67">
        <f t="shared" si="1"/>
        <v>1.0446</v>
      </c>
      <c r="F67">
        <f t="shared" si="3"/>
        <v>23620.046293444007</v>
      </c>
      <c r="G67">
        <v>0</v>
      </c>
      <c r="H67">
        <f t="shared" si="2"/>
        <v>101.01010101010101</v>
      </c>
      <c r="I67">
        <f t="shared" si="4"/>
        <v>246735.00358131612</v>
      </c>
      <c r="J67">
        <f t="shared" si="7"/>
        <v>107490.5425584246</v>
      </c>
      <c r="K67">
        <f t="shared" si="8"/>
        <v>6565.6565656565599</v>
      </c>
      <c r="L67">
        <f>IF(I67&lt;MAX($I$3:I67),1,0)</f>
        <v>0</v>
      </c>
      <c r="M67">
        <f>IF(J67&lt;MAX($J$3:J67),1,0)</f>
        <v>0</v>
      </c>
    </row>
    <row r="68" spans="1:13" x14ac:dyDescent="0.25">
      <c r="A68" s="1">
        <v>34334</v>
      </c>
      <c r="B68" s="2">
        <v>1993</v>
      </c>
      <c r="C68">
        <v>7.06</v>
      </c>
      <c r="D68">
        <f t="shared" ref="D68:D101" si="9">C68/100</f>
        <v>7.0599999999999996E-2</v>
      </c>
      <c r="E68">
        <f t="shared" ref="E68:E101" si="10">D68+1</f>
        <v>1.0706</v>
      </c>
      <c r="F68">
        <f t="shared" si="3"/>
        <v>24673.500358131609</v>
      </c>
      <c r="G68">
        <v>0</v>
      </c>
      <c r="H68">
        <f t="shared" ref="H68:H101" si="11">$G$3/99</f>
        <v>101.01010101010101</v>
      </c>
      <c r="I68">
        <f t="shared" si="4"/>
        <v>264154.49483415706</v>
      </c>
      <c r="J68">
        <f t="shared" si="7"/>
        <v>115187.51627719079</v>
      </c>
      <c r="K68">
        <f t="shared" si="8"/>
        <v>6666.6666666666606</v>
      </c>
      <c r="L68">
        <f>IF(I68&lt;MAX($I$3:I68),1,0)</f>
        <v>0</v>
      </c>
      <c r="M68">
        <f>IF(J68&lt;MAX($J$3:J68),1,0)</f>
        <v>0</v>
      </c>
    </row>
    <row r="69" spans="1:13" x14ac:dyDescent="0.25">
      <c r="A69" s="1">
        <v>34699</v>
      </c>
      <c r="B69" s="2">
        <v>1994</v>
      </c>
      <c r="C69">
        <v>-1.54</v>
      </c>
      <c r="D69">
        <f t="shared" si="9"/>
        <v>-1.54E-2</v>
      </c>
      <c r="E69">
        <f t="shared" si="10"/>
        <v>0.98460000000000003</v>
      </c>
      <c r="F69">
        <f t="shared" ref="F69:F101" si="12">F68*E68</f>
        <v>26415.449483415701</v>
      </c>
      <c r="G69">
        <v>0</v>
      </c>
      <c r="H69">
        <f t="shared" si="11"/>
        <v>101.01010101010101</v>
      </c>
      <c r="I69">
        <f t="shared" ref="I69:I101" si="13">I68*E69</f>
        <v>260086.51561371103</v>
      </c>
      <c r="J69">
        <f t="shared" si="7"/>
        <v>113513.08307197661</v>
      </c>
      <c r="K69">
        <f t="shared" si="8"/>
        <v>6767.6767676767613</v>
      </c>
      <c r="L69">
        <f>IF(I69&lt;MAX($I$3:I69),1,0)</f>
        <v>1</v>
      </c>
      <c r="M69">
        <f>IF(J69&lt;MAX($J$3:J69),1,0)</f>
        <v>1</v>
      </c>
    </row>
    <row r="70" spans="1:13" x14ac:dyDescent="0.25">
      <c r="A70" s="1">
        <v>35064</v>
      </c>
      <c r="B70" s="2">
        <v>1995</v>
      </c>
      <c r="C70">
        <v>34.11</v>
      </c>
      <c r="D70">
        <f t="shared" si="9"/>
        <v>0.34110000000000001</v>
      </c>
      <c r="E70">
        <f t="shared" si="10"/>
        <v>1.3411</v>
      </c>
      <c r="F70">
        <f t="shared" si="12"/>
        <v>26008.651561371102</v>
      </c>
      <c r="G70">
        <v>0</v>
      </c>
      <c r="H70">
        <f t="shared" si="11"/>
        <v>101.01010101010101</v>
      </c>
      <c r="I70">
        <f t="shared" si="13"/>
        <v>348802.02608954784</v>
      </c>
      <c r="J70">
        <f t="shared" si="7"/>
        <v>152367.86035429247</v>
      </c>
      <c r="K70">
        <f t="shared" si="8"/>
        <v>6868.686868686862</v>
      </c>
      <c r="L70">
        <f>IF(I70&lt;MAX($I$3:I70),1,0)</f>
        <v>0</v>
      </c>
      <c r="M70">
        <f>IF(J70&lt;MAX($J$3:J70),1,0)</f>
        <v>0</v>
      </c>
    </row>
    <row r="71" spans="1:13" x14ac:dyDescent="0.25">
      <c r="A71" s="1">
        <v>35430</v>
      </c>
      <c r="B71" s="2">
        <v>1996</v>
      </c>
      <c r="C71">
        <v>20.260000000000002</v>
      </c>
      <c r="D71">
        <f t="shared" si="9"/>
        <v>0.2026</v>
      </c>
      <c r="E71">
        <f t="shared" si="10"/>
        <v>1.2025999999999999</v>
      </c>
      <c r="F71">
        <f t="shared" si="12"/>
        <v>34880.20260895478</v>
      </c>
      <c r="G71">
        <v>0</v>
      </c>
      <c r="H71">
        <f t="shared" si="11"/>
        <v>101.01010101010101</v>
      </c>
      <c r="I71">
        <f t="shared" si="13"/>
        <v>419469.31657529017</v>
      </c>
      <c r="J71">
        <f t="shared" si="7"/>
        <v>183359.06360954684</v>
      </c>
      <c r="K71">
        <f t="shared" si="8"/>
        <v>6969.6969696969627</v>
      </c>
      <c r="L71">
        <f>IF(I71&lt;MAX($I$3:I71),1,0)</f>
        <v>0</v>
      </c>
      <c r="M71">
        <f>IF(J71&lt;MAX($J$3:J71),1,0)</f>
        <v>0</v>
      </c>
    </row>
    <row r="72" spans="1:13" x14ac:dyDescent="0.25">
      <c r="A72" s="1">
        <v>35795</v>
      </c>
      <c r="B72" s="2">
        <v>1997</v>
      </c>
      <c r="C72">
        <v>31.01</v>
      </c>
      <c r="D72">
        <f t="shared" si="9"/>
        <v>0.31010000000000004</v>
      </c>
      <c r="E72">
        <f t="shared" si="10"/>
        <v>1.3101</v>
      </c>
      <c r="F72">
        <f t="shared" si="12"/>
        <v>41946.931657529014</v>
      </c>
      <c r="G72">
        <v>0</v>
      </c>
      <c r="H72">
        <f t="shared" si="11"/>
        <v>101.01010101010101</v>
      </c>
      <c r="I72">
        <f t="shared" si="13"/>
        <v>549546.75164528762</v>
      </c>
      <c r="J72">
        <f t="shared" si="7"/>
        <v>240351.04256820068</v>
      </c>
      <c r="K72">
        <f t="shared" si="8"/>
        <v>7070.7070707070634</v>
      </c>
      <c r="L72">
        <f>IF(I72&lt;MAX($I$3:I72),1,0)</f>
        <v>0</v>
      </c>
      <c r="M72">
        <f>IF(J72&lt;MAX($J$3:J72),1,0)</f>
        <v>0</v>
      </c>
    </row>
    <row r="73" spans="1:13" x14ac:dyDescent="0.25">
      <c r="A73" s="1">
        <v>36160</v>
      </c>
      <c r="B73" s="2">
        <v>1998</v>
      </c>
      <c r="C73">
        <v>26.67</v>
      </c>
      <c r="D73">
        <f t="shared" si="9"/>
        <v>0.26669999999999999</v>
      </c>
      <c r="E73">
        <f t="shared" si="10"/>
        <v>1.2666999999999999</v>
      </c>
      <c r="F73">
        <f t="shared" si="12"/>
        <v>54954.675164528766</v>
      </c>
      <c r="G73">
        <v>0</v>
      </c>
      <c r="H73">
        <f t="shared" si="11"/>
        <v>101.01010101010101</v>
      </c>
      <c r="I73">
        <f t="shared" si="13"/>
        <v>696110.87030908582</v>
      </c>
      <c r="J73">
        <f t="shared" si="7"/>
        <v>304580.61511608929</v>
      </c>
      <c r="K73">
        <f t="shared" si="8"/>
        <v>7171.7171717171641</v>
      </c>
      <c r="L73">
        <f>IF(I73&lt;MAX($I$3:I73),1,0)</f>
        <v>0</v>
      </c>
      <c r="M73">
        <f>IF(J73&lt;MAX($J$3:J73),1,0)</f>
        <v>0</v>
      </c>
    </row>
    <row r="74" spans="1:13" x14ac:dyDescent="0.25">
      <c r="A74" s="1">
        <v>36525</v>
      </c>
      <c r="B74" s="2">
        <v>1999</v>
      </c>
      <c r="C74">
        <v>19.53</v>
      </c>
      <c r="D74">
        <f t="shared" si="9"/>
        <v>0.1953</v>
      </c>
      <c r="E74">
        <f t="shared" si="10"/>
        <v>1.1953</v>
      </c>
      <c r="F74">
        <f t="shared" si="12"/>
        <v>69611.087030908588</v>
      </c>
      <c r="G74">
        <v>0</v>
      </c>
      <c r="H74">
        <f t="shared" si="11"/>
        <v>101.01010101010101</v>
      </c>
      <c r="I74">
        <f t="shared" si="13"/>
        <v>832061.32328045031</v>
      </c>
      <c r="J74">
        <f t="shared" si="7"/>
        <v>364185.94662199891</v>
      </c>
      <c r="K74">
        <f t="shared" si="8"/>
        <v>7272.7272727272648</v>
      </c>
      <c r="L74">
        <f>IF(I74&lt;MAX($I$3:I74),1,0)</f>
        <v>0</v>
      </c>
      <c r="M74">
        <f>IF(J74&lt;MAX($J$3:J74),1,0)</f>
        <v>0</v>
      </c>
    </row>
    <row r="75" spans="1:13" x14ac:dyDescent="0.25">
      <c r="A75" s="1">
        <v>36891</v>
      </c>
      <c r="B75" s="2">
        <v>2000</v>
      </c>
      <c r="C75">
        <v>-10.14</v>
      </c>
      <c r="D75">
        <f t="shared" si="9"/>
        <v>-0.1014</v>
      </c>
      <c r="E75">
        <f t="shared" si="10"/>
        <v>0.89859999999999995</v>
      </c>
      <c r="F75">
        <f t="shared" si="12"/>
        <v>83206.132328045031</v>
      </c>
      <c r="G75">
        <v>0</v>
      </c>
      <c r="H75">
        <f t="shared" si="11"/>
        <v>101.01010101010101</v>
      </c>
      <c r="I75">
        <f t="shared" si="13"/>
        <v>747690.30509981257</v>
      </c>
      <c r="J75">
        <f t="shared" si="7"/>
        <v>327348.25931129587</v>
      </c>
      <c r="K75">
        <f t="shared" si="8"/>
        <v>7373.7373737373655</v>
      </c>
      <c r="L75">
        <f>IF(I75&lt;MAX($I$3:I75),1,0)</f>
        <v>1</v>
      </c>
      <c r="M75">
        <f>IF(J75&lt;MAX($J$3:J75),1,0)</f>
        <v>1</v>
      </c>
    </row>
    <row r="76" spans="1:13" x14ac:dyDescent="0.25">
      <c r="A76" s="1">
        <v>37256</v>
      </c>
      <c r="B76" s="2">
        <v>2001</v>
      </c>
      <c r="C76">
        <v>-13.04</v>
      </c>
      <c r="D76">
        <f t="shared" si="9"/>
        <v>-0.13039999999999999</v>
      </c>
      <c r="E76">
        <f t="shared" si="10"/>
        <v>0.86960000000000004</v>
      </c>
      <c r="F76">
        <f t="shared" si="12"/>
        <v>74769.030509981254</v>
      </c>
      <c r="G76">
        <v>0</v>
      </c>
      <c r="H76">
        <f t="shared" si="11"/>
        <v>101.01010101010101</v>
      </c>
      <c r="I76">
        <f t="shared" si="13"/>
        <v>650191.48931479699</v>
      </c>
      <c r="J76">
        <f t="shared" si="7"/>
        <v>284749.88468094124</v>
      </c>
      <c r="K76">
        <f t="shared" si="8"/>
        <v>7474.7474747474662</v>
      </c>
      <c r="L76">
        <f>IF(I76&lt;MAX($I$3:I76),1,0)</f>
        <v>1</v>
      </c>
      <c r="M76">
        <f>IF(J76&lt;MAX($J$3:J76),1,0)</f>
        <v>1</v>
      </c>
    </row>
    <row r="77" spans="1:13" x14ac:dyDescent="0.25">
      <c r="A77" s="1">
        <v>37621</v>
      </c>
      <c r="B77" s="2">
        <v>2002</v>
      </c>
      <c r="C77">
        <v>-23.37</v>
      </c>
      <c r="D77">
        <f t="shared" si="9"/>
        <v>-0.23370000000000002</v>
      </c>
      <c r="E77">
        <f t="shared" si="10"/>
        <v>0.76629999999999998</v>
      </c>
      <c r="F77">
        <f t="shared" si="12"/>
        <v>65019.1489314797</v>
      </c>
      <c r="G77">
        <v>0</v>
      </c>
      <c r="H77">
        <f t="shared" si="11"/>
        <v>101.01010101010101</v>
      </c>
      <c r="I77">
        <f t="shared" si="13"/>
        <v>498241.7382619289</v>
      </c>
      <c r="J77">
        <f t="shared" si="7"/>
        <v>218281.24067140929</v>
      </c>
      <c r="K77">
        <f t="shared" si="8"/>
        <v>7575.7575757575669</v>
      </c>
      <c r="L77">
        <f>IF(I77&lt;MAX($I$3:I77),1,0)</f>
        <v>1</v>
      </c>
      <c r="M77">
        <f>IF(J77&lt;MAX($J$3:J77),1,0)</f>
        <v>1</v>
      </c>
    </row>
    <row r="78" spans="1:13" x14ac:dyDescent="0.25">
      <c r="A78" s="1">
        <v>37986</v>
      </c>
      <c r="B78" s="2">
        <v>2003</v>
      </c>
      <c r="C78">
        <v>26.38</v>
      </c>
      <c r="D78">
        <f t="shared" si="9"/>
        <v>0.26379999999999998</v>
      </c>
      <c r="E78">
        <f t="shared" si="10"/>
        <v>1.2638</v>
      </c>
      <c r="F78">
        <f t="shared" si="12"/>
        <v>49824.173826192891</v>
      </c>
      <c r="G78">
        <v>0</v>
      </c>
      <c r="H78">
        <f t="shared" si="11"/>
        <v>101.01010101010101</v>
      </c>
      <c r="I78">
        <f t="shared" si="13"/>
        <v>629677.9088154257</v>
      </c>
      <c r="J78">
        <f t="shared" si="7"/>
        <v>275991.48852618365</v>
      </c>
      <c r="K78">
        <f t="shared" si="8"/>
        <v>7676.7676767676676</v>
      </c>
      <c r="L78">
        <f>IF(I78&lt;MAX($I$3:I78),1,0)</f>
        <v>1</v>
      </c>
      <c r="M78">
        <f>IF(J78&lt;MAX($J$3:J78),1,0)</f>
        <v>1</v>
      </c>
    </row>
    <row r="79" spans="1:13" x14ac:dyDescent="0.25">
      <c r="A79" s="1">
        <v>38352</v>
      </c>
      <c r="B79" s="2">
        <v>2004</v>
      </c>
      <c r="C79">
        <v>8.99</v>
      </c>
      <c r="D79">
        <f t="shared" si="9"/>
        <v>8.9900000000000008E-2</v>
      </c>
      <c r="E79">
        <f t="shared" si="10"/>
        <v>1.0899000000000001</v>
      </c>
      <c r="F79">
        <f t="shared" si="12"/>
        <v>62967.790881542576</v>
      </c>
      <c r="G79">
        <v>0</v>
      </c>
      <c r="H79">
        <f t="shared" si="11"/>
        <v>101.01010101010101</v>
      </c>
      <c r="I79">
        <f t="shared" si="13"/>
        <v>686285.95281793259</v>
      </c>
      <c r="J79">
        <f t="shared" si="7"/>
        <v>300913.21425377845</v>
      </c>
      <c r="K79">
        <f t="shared" si="8"/>
        <v>7777.7777777777683</v>
      </c>
      <c r="L79">
        <f>IF(I79&lt;MAX($I$3:I79),1,0)</f>
        <v>1</v>
      </c>
      <c r="M79">
        <f>IF(J79&lt;MAX($J$3:J79),1,0)</f>
        <v>1</v>
      </c>
    </row>
    <row r="80" spans="1:13" x14ac:dyDescent="0.25">
      <c r="A80" s="1">
        <v>38717</v>
      </c>
      <c r="B80" s="2">
        <v>2005</v>
      </c>
      <c r="C80">
        <v>3</v>
      </c>
      <c r="D80">
        <f t="shared" si="9"/>
        <v>0.03</v>
      </c>
      <c r="E80">
        <f t="shared" si="10"/>
        <v>1.03</v>
      </c>
      <c r="F80">
        <f t="shared" si="12"/>
        <v>68628.595281793256</v>
      </c>
      <c r="G80">
        <v>0</v>
      </c>
      <c r="H80">
        <f t="shared" si="11"/>
        <v>101.01010101010101</v>
      </c>
      <c r="I80">
        <f t="shared" si="13"/>
        <v>706874.53140247054</v>
      </c>
      <c r="J80">
        <f t="shared" si="7"/>
        <v>310044.65108543221</v>
      </c>
      <c r="K80">
        <f t="shared" si="8"/>
        <v>7878.787878787869</v>
      </c>
      <c r="L80">
        <f>IF(I80&lt;MAX($I$3:I80),1,0)</f>
        <v>1</v>
      </c>
      <c r="M80">
        <f>IF(J80&lt;MAX($J$3:J80),1,0)</f>
        <v>1</v>
      </c>
    </row>
    <row r="81" spans="1:13" x14ac:dyDescent="0.25">
      <c r="A81" s="1">
        <v>39082</v>
      </c>
      <c r="B81" s="2">
        <v>2006</v>
      </c>
      <c r="C81">
        <v>13.62</v>
      </c>
      <c r="D81">
        <f t="shared" si="9"/>
        <v>0.13619999999999999</v>
      </c>
      <c r="E81">
        <f t="shared" si="10"/>
        <v>1.1362000000000001</v>
      </c>
      <c r="F81">
        <f t="shared" si="12"/>
        <v>70687.45314024706</v>
      </c>
      <c r="G81">
        <v>0</v>
      </c>
      <c r="H81">
        <f t="shared" si="11"/>
        <v>101.01010101010101</v>
      </c>
      <c r="I81">
        <f t="shared" si="13"/>
        <v>803150.84257948713</v>
      </c>
      <c r="J81">
        <f t="shared" si="7"/>
        <v>352387.50024003576</v>
      </c>
      <c r="K81">
        <f t="shared" si="8"/>
        <v>7979.7979797979697</v>
      </c>
      <c r="L81">
        <f>IF(I81&lt;MAX($I$3:I81),1,0)</f>
        <v>1</v>
      </c>
      <c r="M81">
        <f>IF(J81&lt;MAX($J$3:J81),1,0)</f>
        <v>1</v>
      </c>
    </row>
    <row r="82" spans="1:13" x14ac:dyDescent="0.25">
      <c r="A82" s="1">
        <v>39447</v>
      </c>
      <c r="B82" s="2">
        <v>2007</v>
      </c>
      <c r="C82">
        <v>3.53</v>
      </c>
      <c r="D82">
        <f t="shared" si="9"/>
        <v>3.5299999999999998E-2</v>
      </c>
      <c r="E82">
        <f t="shared" si="10"/>
        <v>1.0352999999999999</v>
      </c>
      <c r="F82">
        <f t="shared" si="12"/>
        <v>80315.084257948722</v>
      </c>
      <c r="G82">
        <v>0</v>
      </c>
      <c r="H82">
        <f t="shared" si="11"/>
        <v>101.01010101010101</v>
      </c>
      <c r="I82">
        <f t="shared" si="13"/>
        <v>831502.06732254289</v>
      </c>
      <c r="J82">
        <f t="shared" si="7"/>
        <v>364931.35475608474</v>
      </c>
      <c r="K82">
        <f t="shared" si="8"/>
        <v>8080.8080808080704</v>
      </c>
      <c r="L82">
        <f>IF(I82&lt;MAX($I$3:I82),1,0)</f>
        <v>1</v>
      </c>
      <c r="M82">
        <f>IF(J82&lt;MAX($J$3:J82),1,0)</f>
        <v>0</v>
      </c>
    </row>
    <row r="83" spans="1:13" x14ac:dyDescent="0.25">
      <c r="A83" s="1">
        <v>39813</v>
      </c>
      <c r="B83" s="2">
        <v>2008</v>
      </c>
      <c r="C83">
        <v>-38.49</v>
      </c>
      <c r="D83">
        <f t="shared" si="9"/>
        <v>-0.38490000000000002</v>
      </c>
      <c r="E83">
        <f t="shared" si="10"/>
        <v>0.61509999999999998</v>
      </c>
      <c r="F83">
        <f t="shared" si="12"/>
        <v>83150.206732254301</v>
      </c>
      <c r="G83">
        <v>0</v>
      </c>
      <c r="H83">
        <f t="shared" si="11"/>
        <v>101.01010101010101</v>
      </c>
      <c r="I83">
        <f t="shared" si="13"/>
        <v>511456.92161009612</v>
      </c>
      <c r="J83">
        <f t="shared" si="7"/>
        <v>224531.40762359902</v>
      </c>
      <c r="K83">
        <f t="shared" si="8"/>
        <v>8181.8181818181711</v>
      </c>
      <c r="L83">
        <f>IF(I83&lt;MAX($I$3:I83),1,0)</f>
        <v>1</v>
      </c>
      <c r="M83">
        <f>IF(J83&lt;MAX($J$3:J83),1,0)</f>
        <v>1</v>
      </c>
    </row>
    <row r="84" spans="1:13" x14ac:dyDescent="0.25">
      <c r="A84" s="1">
        <v>40178</v>
      </c>
      <c r="B84" s="2">
        <v>2009</v>
      </c>
      <c r="C84">
        <v>23.45</v>
      </c>
      <c r="D84">
        <f t="shared" si="9"/>
        <v>0.23449999999999999</v>
      </c>
      <c r="E84">
        <f t="shared" si="10"/>
        <v>1.2344999999999999</v>
      </c>
      <c r="F84">
        <f t="shared" si="12"/>
        <v>51145.692161009618</v>
      </c>
      <c r="G84">
        <v>0</v>
      </c>
      <c r="H84">
        <f t="shared" si="11"/>
        <v>101.01010101010101</v>
      </c>
      <c r="I84">
        <f t="shared" si="13"/>
        <v>631393.56972766365</v>
      </c>
      <c r="J84">
        <f t="shared" si="7"/>
        <v>277308.71968102996</v>
      </c>
      <c r="K84">
        <f t="shared" si="8"/>
        <v>8282.8282828282718</v>
      </c>
      <c r="L84">
        <f>IF(I84&lt;MAX($I$3:I84),1,0)</f>
        <v>1</v>
      </c>
      <c r="M84">
        <f>IF(J84&lt;MAX($J$3:J84),1,0)</f>
        <v>1</v>
      </c>
    </row>
    <row r="85" spans="1:13" x14ac:dyDescent="0.25">
      <c r="A85" s="1">
        <v>40543</v>
      </c>
      <c r="B85" s="2">
        <v>2010</v>
      </c>
      <c r="C85">
        <v>12.78</v>
      </c>
      <c r="D85">
        <f t="shared" si="9"/>
        <v>0.1278</v>
      </c>
      <c r="E85">
        <f t="shared" si="10"/>
        <v>1.1277999999999999</v>
      </c>
      <c r="F85">
        <f t="shared" si="12"/>
        <v>63139.356972766371</v>
      </c>
      <c r="G85">
        <v>0</v>
      </c>
      <c r="H85">
        <f t="shared" si="11"/>
        <v>101.01010101010101</v>
      </c>
      <c r="I85">
        <f t="shared" si="13"/>
        <v>712085.66793885897</v>
      </c>
      <c r="J85">
        <f t="shared" si="7"/>
        <v>312862.69324818481</v>
      </c>
      <c r="K85">
        <f t="shared" si="8"/>
        <v>8383.8383838383725</v>
      </c>
      <c r="L85">
        <f>IF(I85&lt;MAX($I$3:I85),1,0)</f>
        <v>1</v>
      </c>
      <c r="M85">
        <f>IF(J85&lt;MAX($J$3:J85),1,0)</f>
        <v>1</v>
      </c>
    </row>
    <row r="86" spans="1:13" x14ac:dyDescent="0.25">
      <c r="A86" s="1">
        <v>40908</v>
      </c>
      <c r="B86" s="2">
        <v>2011</v>
      </c>
      <c r="C86">
        <v>0</v>
      </c>
      <c r="D86">
        <f t="shared" si="9"/>
        <v>0</v>
      </c>
      <c r="E86">
        <f t="shared" si="10"/>
        <v>1</v>
      </c>
      <c r="F86">
        <f t="shared" si="12"/>
        <v>71208.566793885911</v>
      </c>
      <c r="G86">
        <v>0</v>
      </c>
      <c r="H86">
        <f t="shared" si="11"/>
        <v>101.01010101010101</v>
      </c>
      <c r="I86">
        <f t="shared" si="13"/>
        <v>712085.66793885897</v>
      </c>
      <c r="J86">
        <f t="shared" si="7"/>
        <v>312963.7033491949</v>
      </c>
      <c r="K86">
        <f t="shared" si="8"/>
        <v>8484.8484848484732</v>
      </c>
      <c r="L86">
        <f>IF(I86&lt;MAX($I$3:I86),1,0)</f>
        <v>1</v>
      </c>
      <c r="M86">
        <f>IF(J86&lt;MAX($J$3:J86),1,0)</f>
        <v>1</v>
      </c>
    </row>
    <row r="87" spans="1:13" x14ac:dyDescent="0.25">
      <c r="A87" s="1">
        <v>41274</v>
      </c>
      <c r="B87" s="2">
        <v>2012</v>
      </c>
      <c r="C87">
        <v>13.41</v>
      </c>
      <c r="D87">
        <f t="shared" si="9"/>
        <v>0.1341</v>
      </c>
      <c r="E87">
        <f t="shared" si="10"/>
        <v>1.1341000000000001</v>
      </c>
      <c r="F87">
        <f t="shared" si="12"/>
        <v>71208.566793885911</v>
      </c>
      <c r="G87">
        <v>0</v>
      </c>
      <c r="H87">
        <f t="shared" si="11"/>
        <v>101.01010101010101</v>
      </c>
      <c r="I87">
        <f t="shared" si="13"/>
        <v>807576.35600946005</v>
      </c>
      <c r="J87">
        <f t="shared" si="7"/>
        <v>355046.69152387755</v>
      </c>
      <c r="K87">
        <f t="shared" si="8"/>
        <v>8585.8585858585739</v>
      </c>
      <c r="L87">
        <f>IF(I87&lt;MAX($I$3:I87),1,0)</f>
        <v>1</v>
      </c>
      <c r="M87">
        <f>IF(J87&lt;MAX($J$3:J87),1,0)</f>
        <v>1</v>
      </c>
    </row>
    <row r="88" spans="1:13" x14ac:dyDescent="0.25">
      <c r="A88" s="1">
        <v>41639</v>
      </c>
      <c r="B88" s="2">
        <v>2013</v>
      </c>
      <c r="C88">
        <v>29.6</v>
      </c>
      <c r="D88">
        <f t="shared" si="9"/>
        <v>0.29600000000000004</v>
      </c>
      <c r="E88">
        <f t="shared" si="10"/>
        <v>1.296</v>
      </c>
      <c r="F88">
        <f t="shared" si="12"/>
        <v>80757.635600946014</v>
      </c>
      <c r="G88">
        <v>0</v>
      </c>
      <c r="H88">
        <f t="shared" si="11"/>
        <v>101.01010101010101</v>
      </c>
      <c r="I88">
        <f t="shared" si="13"/>
        <v>1046618.9573882603</v>
      </c>
      <c r="J88">
        <f t="shared" si="7"/>
        <v>460271.42130585446</v>
      </c>
      <c r="K88">
        <f t="shared" si="8"/>
        <v>8686.8686868686746</v>
      </c>
      <c r="L88">
        <f>IF(I88&lt;MAX($I$3:I88),1,0)</f>
        <v>0</v>
      </c>
      <c r="M88">
        <f>IF(J88&lt;MAX($J$3:J88),1,0)</f>
        <v>0</v>
      </c>
    </row>
    <row r="89" spans="1:13" x14ac:dyDescent="0.25">
      <c r="A89" s="1">
        <v>42004</v>
      </c>
      <c r="B89" s="2">
        <v>2014</v>
      </c>
      <c r="C89">
        <v>11.39</v>
      </c>
      <c r="D89">
        <f t="shared" si="9"/>
        <v>0.1139</v>
      </c>
      <c r="E89">
        <f t="shared" si="10"/>
        <v>1.1139000000000001</v>
      </c>
      <c r="F89">
        <f t="shared" si="12"/>
        <v>104661.89573882603</v>
      </c>
      <c r="G89">
        <v>0</v>
      </c>
      <c r="H89">
        <f t="shared" si="11"/>
        <v>101.01010101010101</v>
      </c>
      <c r="I89">
        <f t="shared" si="13"/>
        <v>1165828.8566347833</v>
      </c>
      <c r="J89">
        <f t="shared" si="7"/>
        <v>512808.85134410649</v>
      </c>
      <c r="K89">
        <f t="shared" si="8"/>
        <v>8787.8787878787753</v>
      </c>
      <c r="L89">
        <f>IF(I89&lt;MAX($I$3:I89),1,0)</f>
        <v>0</v>
      </c>
      <c r="M89">
        <f>IF(J89&lt;MAX($J$3:J89),1,0)</f>
        <v>0</v>
      </c>
    </row>
    <row r="90" spans="1:13" x14ac:dyDescent="0.25">
      <c r="A90" s="1">
        <v>42369</v>
      </c>
      <c r="B90" s="2">
        <v>2015</v>
      </c>
      <c r="C90">
        <v>-0.73</v>
      </c>
      <c r="D90">
        <f t="shared" si="9"/>
        <v>-7.3000000000000001E-3</v>
      </c>
      <c r="E90">
        <f t="shared" si="10"/>
        <v>0.99270000000000003</v>
      </c>
      <c r="F90">
        <f t="shared" si="12"/>
        <v>116582.88566347833</v>
      </c>
      <c r="G90">
        <v>0</v>
      </c>
      <c r="H90">
        <f t="shared" si="11"/>
        <v>101.01010101010101</v>
      </c>
      <c r="I90">
        <f t="shared" si="13"/>
        <v>1157318.3059813494</v>
      </c>
      <c r="J90">
        <f t="shared" si="7"/>
        <v>509165.61945656722</v>
      </c>
      <c r="K90">
        <f t="shared" si="8"/>
        <v>8888.888888888876</v>
      </c>
      <c r="L90">
        <f>IF(I90&lt;MAX($I$3:I90),1,0)</f>
        <v>1</v>
      </c>
      <c r="M90">
        <f>IF(J90&lt;MAX($J$3:J90),1,0)</f>
        <v>1</v>
      </c>
    </row>
    <row r="91" spans="1:13" x14ac:dyDescent="0.25">
      <c r="A91" s="1">
        <v>42735</v>
      </c>
      <c r="B91" s="2">
        <v>2016</v>
      </c>
      <c r="C91">
        <v>9.5399999999999991</v>
      </c>
      <c r="D91">
        <f t="shared" si="9"/>
        <v>9.5399999999999985E-2</v>
      </c>
      <c r="E91">
        <f t="shared" si="10"/>
        <v>1.0953999999999999</v>
      </c>
      <c r="F91">
        <f t="shared" si="12"/>
        <v>115731.83059813494</v>
      </c>
      <c r="G91">
        <v>0</v>
      </c>
      <c r="H91">
        <f t="shared" si="11"/>
        <v>101.01010101010101</v>
      </c>
      <c r="I91">
        <f t="shared" si="13"/>
        <v>1267726.4723719701</v>
      </c>
      <c r="J91">
        <f t="shared" si="7"/>
        <v>557850.66601737018</v>
      </c>
      <c r="K91">
        <f t="shared" si="8"/>
        <v>8989.8989898989767</v>
      </c>
      <c r="L91">
        <f>IF(I91&lt;MAX($I$3:I91),1,0)</f>
        <v>0</v>
      </c>
      <c r="M91">
        <f>IF(J91&lt;MAX($J$3:J91),1,0)</f>
        <v>0</v>
      </c>
    </row>
    <row r="92" spans="1:13" x14ac:dyDescent="0.25">
      <c r="A92" s="1">
        <v>43100</v>
      </c>
      <c r="B92" s="2">
        <v>2017</v>
      </c>
      <c r="C92">
        <v>19.420000000000002</v>
      </c>
      <c r="D92">
        <f t="shared" si="9"/>
        <v>0.19420000000000001</v>
      </c>
      <c r="E92">
        <f t="shared" si="10"/>
        <v>1.1941999999999999</v>
      </c>
      <c r="F92">
        <f t="shared" si="12"/>
        <v>126772.647237197</v>
      </c>
      <c r="G92">
        <v>0</v>
      </c>
      <c r="H92">
        <f t="shared" si="11"/>
        <v>101.01010101010101</v>
      </c>
      <c r="I92">
        <f t="shared" si="13"/>
        <v>1513918.9533066065</v>
      </c>
      <c r="J92">
        <f t="shared" si="7"/>
        <v>666305.89162056975</v>
      </c>
      <c r="K92">
        <f t="shared" si="8"/>
        <v>9090.9090909090773</v>
      </c>
      <c r="L92">
        <f>IF(I92&lt;MAX($I$3:I92),1,0)</f>
        <v>0</v>
      </c>
      <c r="M92">
        <f>IF(J92&lt;MAX($J$3:J92),1,0)</f>
        <v>0</v>
      </c>
    </row>
    <row r="93" spans="1:13" x14ac:dyDescent="0.25">
      <c r="A93" s="1">
        <v>43465</v>
      </c>
      <c r="B93" s="2">
        <v>2018</v>
      </c>
      <c r="C93">
        <v>-6.24</v>
      </c>
      <c r="D93">
        <f t="shared" si="9"/>
        <v>-6.2400000000000004E-2</v>
      </c>
      <c r="E93">
        <f t="shared" si="10"/>
        <v>0.93759999999999999</v>
      </c>
      <c r="F93">
        <f t="shared" si="12"/>
        <v>151391.89533066066</v>
      </c>
      <c r="G93">
        <v>0</v>
      </c>
      <c r="H93">
        <f t="shared" si="11"/>
        <v>101.01010101010101</v>
      </c>
      <c r="I93">
        <f t="shared" si="13"/>
        <v>1419450.4106202743</v>
      </c>
      <c r="J93">
        <f t="shared" si="7"/>
        <v>624823.1110541533</v>
      </c>
      <c r="K93">
        <f t="shared" si="8"/>
        <v>9191.919191919178</v>
      </c>
      <c r="L93">
        <f>IF(I93&lt;MAX($I$3:I93),1,0)</f>
        <v>1</v>
      </c>
      <c r="M93">
        <f>IF(J93&lt;MAX($J$3:J93),1,0)</f>
        <v>1</v>
      </c>
    </row>
    <row r="94" spans="1:13" x14ac:dyDescent="0.25">
      <c r="A94" s="1">
        <v>43830</v>
      </c>
      <c r="B94" s="2">
        <v>2019</v>
      </c>
      <c r="C94">
        <v>28.88</v>
      </c>
      <c r="D94">
        <f t="shared" si="9"/>
        <v>0.2888</v>
      </c>
      <c r="E94">
        <f t="shared" si="10"/>
        <v>1.2887999999999999</v>
      </c>
      <c r="F94">
        <f t="shared" si="12"/>
        <v>141945.04106202742</v>
      </c>
      <c r="G94">
        <v>0</v>
      </c>
      <c r="H94">
        <f t="shared" si="11"/>
        <v>101.01010101010101</v>
      </c>
      <c r="I94">
        <f t="shared" si="13"/>
        <v>1829387.6892074093</v>
      </c>
      <c r="J94">
        <f t="shared" ref="J94:J101" si="14">J93*E94+H94*PRODUCT(E94)</f>
        <v>805402.20734477451</v>
      </c>
      <c r="K94">
        <f t="shared" ref="K94:K101" si="15">K93+H94</f>
        <v>9292.9292929292787</v>
      </c>
      <c r="L94">
        <f>IF(I94&lt;MAX($I$3:I94),1,0)</f>
        <v>0</v>
      </c>
      <c r="M94">
        <f>IF(J94&lt;MAX($J$3:J94),1,0)</f>
        <v>0</v>
      </c>
    </row>
    <row r="95" spans="1:13" x14ac:dyDescent="0.25">
      <c r="A95" s="1">
        <v>44196</v>
      </c>
      <c r="B95" s="2">
        <v>2020</v>
      </c>
      <c r="C95">
        <v>16.260000000000002</v>
      </c>
      <c r="D95">
        <f t="shared" si="9"/>
        <v>0.16260000000000002</v>
      </c>
      <c r="E95">
        <f t="shared" si="10"/>
        <v>1.1626000000000001</v>
      </c>
      <c r="F95">
        <f t="shared" si="12"/>
        <v>182938.76892074093</v>
      </c>
      <c r="G95">
        <v>0</v>
      </c>
      <c r="H95">
        <f t="shared" si="11"/>
        <v>101.01010101010101</v>
      </c>
      <c r="I95">
        <f t="shared" si="13"/>
        <v>2126846.1274725343</v>
      </c>
      <c r="J95">
        <f t="shared" si="14"/>
        <v>936478.04060246923</v>
      </c>
      <c r="K95">
        <f t="shared" si="15"/>
        <v>9393.9393939393794</v>
      </c>
      <c r="L95">
        <f>IF(I95&lt;MAX($I$3:I95),1,0)</f>
        <v>0</v>
      </c>
      <c r="M95">
        <f>IF(J95&lt;MAX($J$3:J95),1,0)</f>
        <v>0</v>
      </c>
    </row>
    <row r="96" spans="1:13" x14ac:dyDescent="0.25">
      <c r="A96" s="1">
        <v>44561</v>
      </c>
      <c r="B96" s="2">
        <v>2021</v>
      </c>
      <c r="C96">
        <v>26.89</v>
      </c>
      <c r="D96">
        <f t="shared" si="9"/>
        <v>0.26890000000000003</v>
      </c>
      <c r="E96">
        <f t="shared" si="10"/>
        <v>1.2688999999999999</v>
      </c>
      <c r="F96">
        <f t="shared" si="12"/>
        <v>212684.61274725341</v>
      </c>
      <c r="G96">
        <v>0</v>
      </c>
      <c r="H96">
        <f t="shared" si="11"/>
        <v>101.01010101010101</v>
      </c>
      <c r="I96">
        <f t="shared" si="13"/>
        <v>2698755.0511498987</v>
      </c>
      <c r="J96">
        <f t="shared" si="14"/>
        <v>1188425.1574376449</v>
      </c>
      <c r="K96">
        <f t="shared" si="15"/>
        <v>9494.9494949494801</v>
      </c>
      <c r="L96">
        <f>IF(I96&lt;MAX($I$3:I96),1,0)</f>
        <v>0</v>
      </c>
      <c r="M96">
        <f>IF(J96&lt;MAX($J$3:J96),1,0)</f>
        <v>0</v>
      </c>
    </row>
    <row r="97" spans="1:13" x14ac:dyDescent="0.25">
      <c r="A97" s="1">
        <v>44926</v>
      </c>
      <c r="B97" s="2">
        <v>2022</v>
      </c>
      <c r="C97">
        <v>-19.440000000000001</v>
      </c>
      <c r="D97">
        <f t="shared" si="9"/>
        <v>-0.19440000000000002</v>
      </c>
      <c r="E97">
        <f t="shared" si="10"/>
        <v>0.80559999999999998</v>
      </c>
      <c r="F97">
        <f t="shared" si="12"/>
        <v>269875.50511498982</v>
      </c>
      <c r="G97">
        <v>0</v>
      </c>
      <c r="H97">
        <f t="shared" si="11"/>
        <v>101.01010101010101</v>
      </c>
      <c r="I97">
        <f t="shared" si="13"/>
        <v>2174117.0692063584</v>
      </c>
      <c r="J97">
        <f t="shared" si="14"/>
        <v>957476.68056914047</v>
      </c>
      <c r="K97">
        <f t="shared" si="15"/>
        <v>9595.9595959595808</v>
      </c>
      <c r="L97">
        <f>IF(I97&lt;MAX($I$3:I97),1,0)</f>
        <v>1</v>
      </c>
      <c r="M97">
        <f>IF(J97&lt;MAX($J$3:J97),1,0)</f>
        <v>1</v>
      </c>
    </row>
    <row r="98" spans="1:13" x14ac:dyDescent="0.25">
      <c r="A98" s="1">
        <v>45291</v>
      </c>
      <c r="B98" s="2">
        <v>2023</v>
      </c>
      <c r="C98">
        <v>24.23</v>
      </c>
      <c r="D98">
        <f t="shared" si="9"/>
        <v>0.24230000000000002</v>
      </c>
      <c r="E98">
        <f t="shared" si="10"/>
        <v>1.2423</v>
      </c>
      <c r="F98">
        <f t="shared" si="12"/>
        <v>217411.7069206358</v>
      </c>
      <c r="G98">
        <v>0</v>
      </c>
      <c r="H98">
        <f t="shared" si="11"/>
        <v>101.01010101010101</v>
      </c>
      <c r="I98">
        <f t="shared" si="13"/>
        <v>2700905.6350750588</v>
      </c>
      <c r="J98">
        <f t="shared" si="14"/>
        <v>1189598.7651195279</v>
      </c>
      <c r="K98">
        <f t="shared" si="15"/>
        <v>9696.9696969696815</v>
      </c>
      <c r="L98">
        <f>IF(I98&lt;MAX($I$3:I98),1,0)</f>
        <v>0</v>
      </c>
      <c r="M98">
        <f>IF(J98&lt;MAX($J$3:J98),1,0)</f>
        <v>0</v>
      </c>
    </row>
    <row r="99" spans="1:13" x14ac:dyDescent="0.25">
      <c r="A99" s="1">
        <v>45657</v>
      </c>
      <c r="B99" s="2">
        <v>2024</v>
      </c>
      <c r="C99">
        <v>23.31</v>
      </c>
      <c r="D99">
        <f t="shared" si="9"/>
        <v>0.23309999999999997</v>
      </c>
      <c r="E99">
        <f t="shared" si="10"/>
        <v>1.2330999999999999</v>
      </c>
      <c r="F99">
        <f t="shared" si="12"/>
        <v>270090.56350750587</v>
      </c>
      <c r="G99">
        <v>0</v>
      </c>
      <c r="H99">
        <f t="shared" si="11"/>
        <v>101.01010101010101</v>
      </c>
      <c r="I99">
        <f t="shared" si="13"/>
        <v>3330486.7386110546</v>
      </c>
      <c r="J99">
        <f t="shared" si="14"/>
        <v>1467018.7928244453</v>
      </c>
      <c r="K99">
        <f t="shared" si="15"/>
        <v>9797.9797979797822</v>
      </c>
      <c r="L99">
        <f>IF(I99&lt;MAX($I$3:I99),1,0)</f>
        <v>0</v>
      </c>
      <c r="M99">
        <f>IF(J99&lt;MAX($J$3:J99),1,0)</f>
        <v>0</v>
      </c>
    </row>
    <row r="100" spans="1:13" x14ac:dyDescent="0.25">
      <c r="A100" s="1">
        <v>46022</v>
      </c>
      <c r="B100" s="2">
        <v>2025</v>
      </c>
      <c r="C100">
        <v>16.39</v>
      </c>
      <c r="D100">
        <f t="shared" si="9"/>
        <v>0.16390000000000002</v>
      </c>
      <c r="E100">
        <f t="shared" si="10"/>
        <v>1.1638999999999999</v>
      </c>
      <c r="F100">
        <f t="shared" si="12"/>
        <v>333048.67386110546</v>
      </c>
      <c r="G100">
        <v>0</v>
      </c>
      <c r="H100">
        <f t="shared" si="11"/>
        <v>101.01010101010101</v>
      </c>
      <c r="I100">
        <f t="shared" si="13"/>
        <v>3876353.515069406</v>
      </c>
      <c r="J100">
        <f t="shared" si="14"/>
        <v>1707580.7386249374</v>
      </c>
      <c r="K100">
        <f t="shared" si="15"/>
        <v>9898.9898989898829</v>
      </c>
      <c r="L100">
        <f>IF(I100&lt;MAX($I$3:I100),1,0)</f>
        <v>0</v>
      </c>
      <c r="M100">
        <f>IF(J100&lt;MAX($J$3:J100),1,0)</f>
        <v>0</v>
      </c>
    </row>
    <row r="101" spans="1:13" x14ac:dyDescent="0.25">
      <c r="A101" s="1">
        <v>46387</v>
      </c>
      <c r="B101" s="2">
        <v>2026</v>
      </c>
      <c r="C101">
        <v>5.62</v>
      </c>
      <c r="D101">
        <f t="shared" si="9"/>
        <v>5.62E-2</v>
      </c>
      <c r="E101">
        <f t="shared" si="10"/>
        <v>1.0562</v>
      </c>
      <c r="F101">
        <f t="shared" si="12"/>
        <v>387635.35150694061</v>
      </c>
      <c r="G101">
        <v>0</v>
      </c>
      <c r="H101">
        <f t="shared" si="11"/>
        <v>101.01010101010101</v>
      </c>
      <c r="I101">
        <f t="shared" si="13"/>
        <v>4094204.5826163068</v>
      </c>
      <c r="J101">
        <f t="shared" si="14"/>
        <v>1803653.4630043458</v>
      </c>
      <c r="K101">
        <f t="shared" si="15"/>
        <v>9999.9999999999836</v>
      </c>
      <c r="L101">
        <f>IF(I101&lt;MAX($I$3:I101),1,0)</f>
        <v>0</v>
      </c>
      <c r="M101">
        <f>IF(J101&lt;MAX($J$3:J101),1,0)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Wang</dc:creator>
  <cp:lastModifiedBy>Daniel Wang</cp:lastModifiedBy>
  <dcterms:created xsi:type="dcterms:W3CDTF">2026-05-04T18:11:20Z</dcterms:created>
  <dcterms:modified xsi:type="dcterms:W3CDTF">2026-05-04T22:06:33Z</dcterms:modified>
</cp:coreProperties>
</file>